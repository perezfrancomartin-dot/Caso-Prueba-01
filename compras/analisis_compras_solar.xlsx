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oductos" sheetId="2" state="visible" r:id="rId4"/>
    <sheet name="Kits" sheetId="3" state="visible" r:id="rId5"/>
    <sheet name="Proveedores" sheetId="4" state="visible" r:id="rId6"/>
  </sheets>
  <definedNames>
    <definedName function="false" hidden="true" localSheetId="1" name="_xlnm._FilterDatabase" vbProcedure="false">Productos!$A$1:$P$29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Precios publicados en web, relevados el 11/10/2026. Fuente: link de la columna O. Confirmar antes de usar.</t>
        </r>
      </text>
    </comment>
    <comment ref="N1" authorId="0">
      <text>
        <r>
          <rPr>
            <sz val="10"/>
            <rFont val="Arial"/>
            <family val="2"/>
          </rPr>
          <t xml:space="preserve">Paneles e inversores: $ por W. Baterías: $ por kWh. Sirve para comparar entre tamaños.</t>
        </r>
      </text>
    </comment>
  </commentList>
</comments>
</file>

<file path=xl/sharedStrings.xml><?xml version="1.0" encoding="utf-8"?>
<sst xmlns="http://schemas.openxmlformats.org/spreadsheetml/2006/main" count="473" uniqueCount="300">
  <si>
    <t xml:space="preserve">Análisis de compras: equipos solares (compra por unidad, Argentina)</t>
  </si>
  <si>
    <t xml:space="preserve">Precios de referencia relevados en web el 11/10/2026. Muchos datos tienen semanas o meses: confirmá cada precio antes de presupuestar.</t>
  </si>
  <si>
    <t xml:space="preserve">Categoría</t>
  </si>
  <si>
    <t xml:space="preserve">Recomendación principal (precio/calidad)</t>
  </si>
  <si>
    <t xml:space="preserve">Alternativa</t>
  </si>
  <si>
    <t xml:space="preserve">Por qué</t>
  </si>
  <si>
    <t xml:space="preserve">Paneles</t>
  </si>
  <si>
    <t xml:space="preserve">Trina Solar Vertex 550 W (Enertik o su tienda en Mercado Libre)</t>
  </si>
  <si>
    <t xml:space="preserve">Solartex 580 W bifacial (TexSolar) / Znshine 580 W bifacial (ML)</t>
  </si>
  <si>
    <t xml:space="preserve">Marca Tier 1, se vende por unidad, stock habitual y garantía con distribuidor oficial.</t>
  </si>
  <si>
    <t xml:space="preserve">Inversor on-grid con inyección cero</t>
  </si>
  <si>
    <t xml:space="preserve">Deye on-grid 2 / 3 / 4 kW (trae limitación de inyección con sensor CT)</t>
  </si>
  <si>
    <t xml:space="preserve">Growatt MIN + limitador Growatt SPM / SolaX X1-Mini</t>
  </si>
  <si>
    <t xml:space="preserve">Deye resuelve la inyección cero sin comprar otro medidor. Ideal para el cliente sin baterías.</t>
  </si>
  <si>
    <t xml:space="preserve">Inversor híbrido</t>
  </si>
  <si>
    <t xml:space="preserve">Deye SUN-5K-SG04LP1 5 kW 48 V monofásico</t>
  </si>
  <si>
    <t xml:space="preserve">Growatt SPH / SPF (cotizar)</t>
  </si>
  <si>
    <t xml:space="preserve">Muy difundido en Argentina, buen soporte, compatible con baterías Deye, Dyness y Pylontech.</t>
  </si>
  <si>
    <t xml:space="preserve">Baterías litio 48 V</t>
  </si>
  <si>
    <t xml:space="preserve">Deye SE-F5 5,12 kWh (Enertik)</t>
  </si>
  <si>
    <t xml:space="preserve">Dyness DL5.0C 5,12 kWh (ML) / Pylontech US5000 (premium)</t>
  </si>
  <si>
    <t xml:space="preserve">El mejor $/kWh relevado. Con inversor Deye, la comunicación BMS es directa.</t>
  </si>
  <si>
    <t xml:space="preserve">Limitador / medidor</t>
  </si>
  <si>
    <t xml:space="preserve">Si usás Deye: el CT que trae el inversor</t>
  </si>
  <si>
    <t xml:space="preserve">Growatt SPM monofásico / TPM trifásico</t>
  </si>
  <si>
    <t xml:space="preserve">Solo hace falta si el inversor no trae limitación integrada.</t>
  </si>
  <si>
    <t xml:space="preserve">Cable solar y MC4</t>
  </si>
  <si>
    <t xml:space="preserve">Rollo de cable solar 6 mm² rojo y negro (IEC 62930 / TÜV) + MC4 de una sola marca</t>
  </si>
  <si>
    <t xml:space="preserve">Cable armado con MC4 (para tramos cortos)</t>
  </si>
  <si>
    <t xml:space="preserve">No mezcles MC4 de marcas distintas: es causa típica de puntos calientes.</t>
  </si>
  <si>
    <t xml:space="preserve">Protecciones CC</t>
  </si>
  <si>
    <t xml:space="preserve">Portafusibles gPV 1000 V + seccionador CC 1000 V + DPS CC tipo 2 (Suntree, Chint o similar)</t>
  </si>
  <si>
    <t xml:space="preserve">Tablero CC premontado</t>
  </si>
  <si>
    <t xml:space="preserve">Precios no encontrados online: cotizar (Hissuma materiales, Enertik, casas de electricidad).</t>
  </si>
  <si>
    <t xml:space="preserve">Protecciones CA</t>
  </si>
  <si>
    <t xml:space="preserve">Térmica, disyuntor diferencial y DPS CA de marca reconocida (Schneider, ABB, Siemens, Sica, Jeluz)</t>
  </si>
  <si>
    <t xml:space="preserve">—</t>
  </si>
  <si>
    <t xml:space="preserve">Se compran en cualquier casa de electricidad. Precio de mercado común.</t>
  </si>
  <si>
    <t xml:space="preserve">Estructura</t>
  </si>
  <si>
    <t xml:space="preserve">Proveedor local de estructura de aluminio coplanar para chapa o teja</t>
  </si>
  <si>
    <t xml:space="preserve">Perfilería y anclajes por tu cuenta</t>
  </si>
  <si>
    <t xml:space="preserve">No encontré precios argentinos online: cotizar con medidas de panel y tipo de techo.</t>
  </si>
  <si>
    <t xml:space="preserve">CÓMO USAR ESTE ARCHIVO</t>
  </si>
  <si>
    <t xml:space="preserve">1) Hoja 'Productos': cuando cotices, cargá el precio nuevo en la columna amarilla 'Precio actualizado' y la fecha. La columna 'Precio a usar' toma ese valor automáticamente.</t>
  </si>
  <si>
    <t xml:space="preserve">2) Hoja 'Kits': cambiá las cantidades (texto azul) y cargá los ítems 'a cotizar' (celdas amarillas). El total se recalcula solo.</t>
  </si>
  <si>
    <t xml:space="preserve">3) Hoja 'Proveedores': dónde comprar y qué vende cada uno.</t>
  </si>
  <si>
    <t xml:space="preserve">CONSEJOS DE COMPRA</t>
  </si>
  <si>
    <t xml:space="preserve">• Compará siempre con IVA incluido. Algunas tiendas publican + IVA o 'sin impuestos nacionales' (está marcado en la columna IVA).</t>
  </si>
  <si>
    <t xml:space="preserve">• Los equipos se compran con el anticipo del cliente, nunca con tu plata.</t>
  </si>
  <si>
    <t xml:space="preserve">• Pedí factura A o B a tu nombre (monotributo) y guardá la garantía de cada equipo: la vas a necesitar para responderle al cliente.</t>
  </si>
  <si>
    <t xml:space="preserve">• Con 2 o 3 obras, pedí cuenta de instalador en Enertik y en algún mayorista (Hissuma, Enerton): los precios suelen bajar bastante.</t>
  </si>
  <si>
    <t xml:space="preserve">• Comprá inversor y batería compatibles entre sí (misma marca o en la lista de compatibilidad del fabricante).</t>
  </si>
  <si>
    <t xml:space="preserve">• Leyenda de colores: texto azul = dato que podés cambiar · celdas amarillas = completar · texto verde = trae datos de otra hoja.</t>
  </si>
  <si>
    <t xml:space="preserve">ID</t>
  </si>
  <si>
    <t xml:space="preserve">Producto / modelo</t>
  </si>
  <si>
    <t xml:space="preserve">Marca</t>
  </si>
  <si>
    <t xml:space="preserve">Capacidad</t>
  </si>
  <si>
    <t xml:space="preserve">Unidad</t>
  </si>
  <si>
    <t xml:space="preserve">Tienda</t>
  </si>
  <si>
    <t xml:space="preserve">Precio ref. (ARS)</t>
  </si>
  <si>
    <t xml:space="preserve">IVA</t>
  </si>
  <si>
    <t xml:space="preserve">Antigüedad del dato</t>
  </si>
  <si>
    <t xml:space="preserve">Precio actualizado (completar)</t>
  </si>
  <si>
    <t xml:space="preserve">Fecha cotización (completar)</t>
  </si>
  <si>
    <t xml:space="preserve">Precio a usar (ARS)</t>
  </si>
  <si>
    <t xml:space="preserve">$ por W o por kWh</t>
  </si>
  <si>
    <t xml:space="preserve">Link</t>
  </si>
  <si>
    <t xml:space="preserve">Comentario</t>
  </si>
  <si>
    <t xml:space="preserve">PAN-01</t>
  </si>
  <si>
    <t xml:space="preserve">Panel</t>
  </si>
  <si>
    <t xml:space="preserve">Trina Vertex 550 W (TSM-550DE19)</t>
  </si>
  <si>
    <t xml:space="preserve">Trina Solar</t>
  </si>
  <si>
    <t xml:space="preserve">W</t>
  </si>
  <si>
    <t xml:space="preserve">Enertik</t>
  </si>
  <si>
    <t xml:space="preserve">Incluido</t>
  </si>
  <si>
    <t xml:space="preserve">~3 meses</t>
  </si>
  <si>
    <t xml:space="preserve">https://enertik.com/ar/tienda/</t>
  </si>
  <si>
    <t xml:space="preserve">Pallet de 31 u.: $6.710.000 (≈ $216.452/u).</t>
  </si>
  <si>
    <t xml:space="preserve">PAN-02</t>
  </si>
  <si>
    <t xml:space="preserve">Trina Vertex 550 W</t>
  </si>
  <si>
    <t xml:space="preserve">Enertik shop</t>
  </si>
  <si>
    <t xml:space="preserve">Viejo (tipo de cambio 1028)</t>
  </si>
  <si>
    <t xml:space="preserve">https://shop.enertik.ar/shop/category/paneles-solares-247</t>
  </si>
  <si>
    <t xml:space="preserve">Lista con TC desactualizado.</t>
  </si>
  <si>
    <t xml:space="preserve">PAN-03</t>
  </si>
  <si>
    <t xml:space="preserve">Mercado Libre (por Enertik)</t>
  </si>
  <si>
    <t xml:space="preserve">Actual al relevar</t>
  </si>
  <si>
    <t xml:space="preserve">https://listado.mercadolibre.com.ar/panel-solar-550w</t>
  </si>
  <si>
    <t xml:space="preserve">Permite cuotas.</t>
  </si>
  <si>
    <t xml:space="preserve">PAN-04</t>
  </si>
  <si>
    <t xml:space="preserve">Solartex 580 W bifacial</t>
  </si>
  <si>
    <t xml:space="preserve">Solartex</t>
  </si>
  <si>
    <t xml:space="preserve">TexSolar (Rosario)</t>
  </si>
  <si>
    <t xml:space="preserve">+IVA (sumado 21%)</t>
  </si>
  <si>
    <t xml:space="preserve">Sin fecha</t>
  </si>
  <si>
    <t xml:space="preserve">https://texsolar.com.ar/panel-solar-580w/</t>
  </si>
  <si>
    <t xml:space="preserve">Lista $179.900 + IVA. Envío desde Rosario.</t>
  </si>
  <si>
    <t xml:space="preserve">PAN-05</t>
  </si>
  <si>
    <t xml:space="preserve">Znshine 580 W bifacial</t>
  </si>
  <si>
    <t xml:space="preserve">Znshine</t>
  </si>
  <si>
    <t xml:space="preserve">Mercado Libre</t>
  </si>
  <si>
    <t xml:space="preserve">https://articulo.mercadolibre.com.ar/MLA-1913420384-panel-solar-bifacial-monocristalino-580w-media-celda-perc-_JM</t>
  </si>
  <si>
    <t xml:space="preserve">Marca menos conocida en el país.</t>
  </si>
  <si>
    <t xml:space="preserve">PAN-06</t>
  </si>
  <si>
    <t xml:space="preserve">Amerisolar 580 W</t>
  </si>
  <si>
    <t xml:space="preserve">Amerisolar</t>
  </si>
  <si>
    <t xml:space="preserve">JF Solar</t>
  </si>
  <si>
    <t xml:space="preserve">~19 meses (viejo)</t>
  </si>
  <si>
    <t xml:space="preserve">https://jfsolar.com.ar/paneles-solares/</t>
  </si>
  <si>
    <t xml:space="preserve">Precio contado. Dato viejo.</t>
  </si>
  <si>
    <t xml:space="preserve">PAN-07</t>
  </si>
  <si>
    <t xml:space="preserve">JA Solar 610 W bifacial</t>
  </si>
  <si>
    <t xml:space="preserve">JA Solar</t>
  </si>
  <si>
    <t xml:space="preserve">INV-01</t>
  </si>
  <si>
    <t xml:space="preserve">Inversor on-grid</t>
  </si>
  <si>
    <t xml:space="preserve">Deye 2 kW on-grid (WiFi + CT incluido)</t>
  </si>
  <si>
    <t xml:space="preserve">Deye</t>
  </si>
  <si>
    <t xml:space="preserve">SuriaEnergy</t>
  </si>
  <si>
    <t xml:space="preserve">Verificar</t>
  </si>
  <si>
    <t xml:space="preserve">https://shop.suriaenergy.com/40c760-Inversores%20On%20Grid</t>
  </si>
  <si>
    <t xml:space="preserve">Con limitación de inyección cero.</t>
  </si>
  <si>
    <t xml:space="preserve">INV-02</t>
  </si>
  <si>
    <t xml:space="preserve">Deye 3 kW on-grid</t>
  </si>
  <si>
    <t xml:space="preserve">https://listado.mercadolibre.com.ar/inversor-on-grid-3-kw</t>
  </si>
  <si>
    <t xml:space="preserve">Confirmá que incluya el CT.</t>
  </si>
  <si>
    <t xml:space="preserve">INV-03</t>
  </si>
  <si>
    <t xml:space="preserve">Deye 4 kW on-grid</t>
  </si>
  <si>
    <t xml:space="preserve">INV-04</t>
  </si>
  <si>
    <t xml:space="preserve">SolaX X1-Mini 2 kW</t>
  </si>
  <si>
    <t xml:space="preserve">SolaX</t>
  </si>
  <si>
    <t xml:space="preserve">Ingeniería Boggio</t>
  </si>
  <si>
    <t xml:space="preserve">Sin impuestos nacionales</t>
  </si>
  <si>
    <t xml:space="preserve">https://www.ingenieriaboggio.com.ar/shop/category/energia-solar-inversores-on-grid-3205</t>
  </si>
  <si>
    <t xml:space="preserve">Sumale impuestos para comparar.</t>
  </si>
  <si>
    <t xml:space="preserve">INV-05</t>
  </si>
  <si>
    <t xml:space="preserve">Deye SUN-5K-SG04LP1 5 kW 48 V</t>
  </si>
  <si>
    <t xml:space="preserve">https://articulo.mercadolibre.com.ar/MLA-1142269496-inversor-hibrido-monofasico-5kw-deye-48v-220v-solar-_JM</t>
  </si>
  <si>
    <t xml:space="preserve">Precio para CABA y GBA. Otros vendedores: $4,2 a $6,5 M.</t>
  </si>
  <si>
    <t xml:space="preserve">LIM-01</t>
  </si>
  <si>
    <t xml:space="preserve">Limitador</t>
  </si>
  <si>
    <t xml:space="preserve">Growatt SPM monofásico</t>
  </si>
  <si>
    <t xml:space="preserve">Growatt</t>
  </si>
  <si>
    <t xml:space="preserve">u</t>
  </si>
  <si>
    <t xml:space="preserve">Solo para inversores Growatt.</t>
  </si>
  <si>
    <t xml:space="preserve">LIM-02</t>
  </si>
  <si>
    <t xml:space="preserve">Electroimpulso</t>
  </si>
  <si>
    <t xml:space="preserve">https://electroimpulso.com.ar/catalogo/producto/growatt-spm-limitador-de-inyeccion-monofasico/</t>
  </si>
  <si>
    <t xml:space="preserve">LIM-03</t>
  </si>
  <si>
    <t xml:space="preserve">Growatt TPM trifásico</t>
  </si>
  <si>
    <t xml:space="preserve">BAT-01</t>
  </si>
  <si>
    <t xml:space="preserve">Batería</t>
  </si>
  <si>
    <t xml:space="preserve">Deye SE-F5 5,12 kWh 51,2 V</t>
  </si>
  <si>
    <t xml:space="preserve">kWh</t>
  </si>
  <si>
    <t xml:space="preserve">https://enertik.com/ar/categoria/baterias/litio</t>
  </si>
  <si>
    <t xml:space="preserve">Mejor $/kWh relevado.</t>
  </si>
  <si>
    <t xml:space="preserve">BAT-02</t>
  </si>
  <si>
    <t xml:space="preserve">Dyness DL5.0C 5,12 kWh 48 V</t>
  </si>
  <si>
    <t xml:space="preserve">Dyness</t>
  </si>
  <si>
    <t xml:space="preserve">https://www.mercadolibre.com.ar/bateria-litio-solar-48v-dyness-dl50c-100ah-lifepo4-51kw/up/MLAU452853384</t>
  </si>
  <si>
    <t xml:space="preserve">BAT-03</t>
  </si>
  <si>
    <t xml:space="preserve">Pylontech US5000 4,8 kWh 48 V</t>
  </si>
  <si>
    <t xml:space="preserve">Pylontech</t>
  </si>
  <si>
    <t xml:space="preserve">https://enertik.com/ar/marca/pylontech/</t>
  </si>
  <si>
    <t xml:space="preserve">Premium. Enertik es distribuidor oficial.</t>
  </si>
  <si>
    <t xml:space="preserve">BAT-04</t>
  </si>
  <si>
    <t xml:space="preserve">MCSoL</t>
  </si>
  <si>
    <t xml:space="preserve">Sin stock al relevar</t>
  </si>
  <si>
    <t xml:space="preserve">https://mcsol.com.ar/productos/bateria-pylontech-us5000-100ah-48v-litio-lifepo4/</t>
  </si>
  <si>
    <t xml:space="preserve">CAB-01</t>
  </si>
  <si>
    <t xml:space="preserve">Cable</t>
  </si>
  <si>
    <t xml:space="preserve">Cable solar 6 mm² rojo/negro, rollo 30 m</t>
  </si>
  <si>
    <t xml:space="preserve">Varias</t>
  </si>
  <si>
    <t xml:space="preserve">m</t>
  </si>
  <si>
    <t xml:space="preserve">https://listado.mercadolibre.com.ar/cable-solar-6mm</t>
  </si>
  <si>
    <t xml:space="preserve">Otro vendedor: $106.457.</t>
  </si>
  <si>
    <t xml:space="preserve">CAB-02</t>
  </si>
  <si>
    <t xml:space="preserve">Cable solar 6 mm², rollo 40 m</t>
  </si>
  <si>
    <t xml:space="preserve">CON-01</t>
  </si>
  <si>
    <t xml:space="preserve">Conector</t>
  </si>
  <si>
    <t xml:space="preserve">Conector MC4 (par macho/hembra)</t>
  </si>
  <si>
    <t xml:space="preserve">Genérico</t>
  </si>
  <si>
    <t xml:space="preserve">Emakers</t>
  </si>
  <si>
    <t xml:space="preserve">https://www.emakers.com.ar/tienda/energia-solar-y-alternativas/accesorios-solar</t>
  </si>
  <si>
    <t xml:space="preserve">Verificar si el precio es por par o por unidad.</t>
  </si>
  <si>
    <t xml:space="preserve">CON-02</t>
  </si>
  <si>
    <t xml:space="preserve">MC4 en Y (1 a 3), par</t>
  </si>
  <si>
    <t xml:space="preserve">https://listado.mercadolibre.com.ar/conectores-mc4-cable</t>
  </si>
  <si>
    <t xml:space="preserve">Solo si tenés strings en paralelo.</t>
  </si>
  <si>
    <t xml:space="preserve">PRO-01</t>
  </si>
  <si>
    <t xml:space="preserve">Protección CC</t>
  </si>
  <si>
    <t xml:space="preserve">Portafusible + fusible gPV 1000 V CC 25 A</t>
  </si>
  <si>
    <t xml:space="preserve">Suntree</t>
  </si>
  <si>
    <t xml:space="preserve">Hissuma materiales</t>
  </si>
  <si>
    <t xml:space="preserve">A cotizar</t>
  </si>
  <si>
    <t xml:space="preserve">https://www.hissuma-materiales.com.ar/productos/porta-fusible-con-fusible-cc-para-riel-din-25a-suntree/</t>
  </si>
  <si>
    <t xml:space="preserve">Precio no publicado.</t>
  </si>
  <si>
    <t xml:space="preserve">PRO-02</t>
  </si>
  <si>
    <t xml:space="preserve">Seccionador CC 1000 V 2 o 4 polos</t>
  </si>
  <si>
    <t xml:space="preserve">PRO-03</t>
  </si>
  <si>
    <t xml:space="preserve">DPS CC tipo 2 1000 V</t>
  </si>
  <si>
    <t xml:space="preserve">PRO-04</t>
  </si>
  <si>
    <t xml:space="preserve">Protección CA</t>
  </si>
  <si>
    <t xml:space="preserve">Térmica + disyuntor diferencial + DPS CA</t>
  </si>
  <si>
    <t xml:space="preserve">Schneider / ABB / Sica</t>
  </si>
  <si>
    <t xml:space="preserve">juego</t>
  </si>
  <si>
    <t xml:space="preserve">Casa de electricidad</t>
  </si>
  <si>
    <t xml:space="preserve">EST-01</t>
  </si>
  <si>
    <t xml:space="preserve">Estructura aluminio coplanar (por panel)</t>
  </si>
  <si>
    <t xml:space="preserve">Local</t>
  </si>
  <si>
    <t xml:space="preserve">panel</t>
  </si>
  <si>
    <t xml:space="preserve">Pedí precio con medidas del panel y tipo de techo.</t>
  </si>
  <si>
    <t xml:space="preserve">Kits de referencia (materiales a precio de lista, sin mano de obra ni margen)</t>
  </si>
  <si>
    <t xml:space="preserve">Cambiá el ID para usar otro producto de la hoja 'Productos', ajustá cantidades (azul) y completá lo amarillo.</t>
  </si>
  <si>
    <t xml:space="preserve">KIT A: Autoconsumo con inyección cero, ~2,2 kWp (cliente sin baterías)</t>
  </si>
  <si>
    <t xml:space="preserve">ID producto</t>
  </si>
  <si>
    <t xml:space="preserve">Descripción</t>
  </si>
  <si>
    <t xml:space="preserve">Cantidad</t>
  </si>
  <si>
    <t xml:space="preserve">Precio unitario (ARS)</t>
  </si>
  <si>
    <t xml:space="preserve">Subtotal (ARS)</t>
  </si>
  <si>
    <t xml:space="preserve">Nota</t>
  </si>
  <si>
    <t xml:space="preserve">4 x 550 W = 2,2 kWp. Ajustar según el consumo de día.</t>
  </si>
  <si>
    <t xml:space="preserve">Deye 3 kW on-grid con limitación por CT.</t>
  </si>
  <si>
    <t xml:space="preserve">1 rollo de 30 m. Ajustar según el recorrido.</t>
  </si>
  <si>
    <t xml:space="preserve">Protecciones CC (fusibles, seccionador, DPS)</t>
  </si>
  <si>
    <t xml:space="preserve">Protecciones CA (térmica, diferencial, DPS)</t>
  </si>
  <si>
    <t xml:space="preserve">Estructura aluminio (por panel)</t>
  </si>
  <si>
    <t xml:space="preserve">Gabinete, cañería, cable CA, tierra, varios</t>
  </si>
  <si>
    <t xml:space="preserve">TOTAL materiales</t>
  </si>
  <si>
    <t xml:space="preserve">Ítems sin precio</t>
  </si>
  <si>
    <t xml:space="preserve">Si es mayor a 0, el total todavía no está completo.</t>
  </si>
  <si>
    <t xml:space="preserve">KIT B: Híbrido con baterías, ~3,3 kWp + 5 kWh (cliente con banco de baterías)</t>
  </si>
  <si>
    <t xml:space="preserve">6 x 550 W = 3,3 kWp.</t>
  </si>
  <si>
    <t xml:space="preserve">Deye híbrido 5 kW 48 V.</t>
  </si>
  <si>
    <t xml:space="preserve">5,12 kWh. Sumar módulos según las horas de respaldo.</t>
  </si>
  <si>
    <t xml:space="preserve">Protecciones CC + fusible/breaker de batería</t>
  </si>
  <si>
    <t xml:space="preserve">Protecciones CA + tablero de cargas críticas</t>
  </si>
  <si>
    <t xml:space="preserve">Proveedor</t>
  </si>
  <si>
    <t xml:space="preserve">Tipo</t>
  </si>
  <si>
    <t xml:space="preserve">Zona</t>
  </si>
  <si>
    <t xml:space="preserve">Qué vende</t>
  </si>
  <si>
    <t xml:space="preserve">Web</t>
  </si>
  <si>
    <t xml:space="preserve">Tienda online / distribuidor</t>
  </si>
  <si>
    <t xml:space="preserve">Rosario (envíos a todo el país)</t>
  </si>
  <si>
    <t xml:space="preserve">Paneles Trina, baterías Deye y Pylontech (oficial), limitadores Growatt</t>
  </si>
  <si>
    <t xml:space="preserve">El más completo para comprar por unidad. Vende también en Mercado Libre.</t>
  </si>
  <si>
    <t xml:space="preserve">Marketplace</t>
  </si>
  <si>
    <t xml:space="preserve">Todo el país</t>
  </si>
  <si>
    <t xml:space="preserve">De todo: paneles, inversores, baterías, cable, MC4</t>
  </si>
  <si>
    <t xml:space="preserve">https://www.mercadolibre.com.ar</t>
  </si>
  <si>
    <t xml:space="preserve">Cuotas y envío rápido. Revisá la reputación del vendedor y la factura.</t>
  </si>
  <si>
    <t xml:space="preserve">Tienda online</t>
  </si>
  <si>
    <t xml:space="preserve">Inversores on-grid Deye, limitadores Growatt</t>
  </si>
  <si>
    <t xml:space="preserve">https://shop.suriaenergy.com/</t>
  </si>
  <si>
    <t xml:space="preserve">Buenos precios de limitadores.</t>
  </si>
  <si>
    <t xml:space="preserve">Limitadores Growatt y accesorios</t>
  </si>
  <si>
    <t xml:space="preserve">https://electroimpulso.com.ar/</t>
  </si>
  <si>
    <t xml:space="preserve">Inversores on-grid (SolaX y otros)</t>
  </si>
  <si>
    <t xml:space="preserve">https://www.ingenieriaboggio.com.ar/</t>
  </si>
  <si>
    <t xml:space="preserve">Publica precios sin impuestos nacionales.</t>
  </si>
  <si>
    <t xml:space="preserve">Tienda / distribuidor</t>
  </si>
  <si>
    <t xml:space="preserve">Paneles Amerisolar y JA Solar</t>
  </si>
  <si>
    <t xml:space="preserve">https://jfsolar.com.ar/</t>
  </si>
  <si>
    <t xml:space="preserve">Precios publicados viejos: pedí lista actualizada.</t>
  </si>
  <si>
    <t xml:space="preserve">TexSolar (Solartex)</t>
  </si>
  <si>
    <t xml:space="preserve">Fabricante / distribuidor</t>
  </si>
  <si>
    <t xml:space="preserve">Roldán, Rosario</t>
  </si>
  <si>
    <t xml:space="preserve">Paneles Solartex bifaciales</t>
  </si>
  <si>
    <t xml:space="preserve">https://texsolar.com.ar/</t>
  </si>
  <si>
    <t xml:space="preserve">Precio + IVA. Consultá el flete a AMBA.</t>
  </si>
  <si>
    <t xml:space="preserve">Mayorista</t>
  </si>
  <si>
    <t xml:space="preserve">General Rodríguez (Bs. As.)</t>
  </si>
  <si>
    <t xml:space="preserve">Growatt, Must, EPEver, protecciones Suntree</t>
  </si>
  <si>
    <t xml:space="preserve">https://www.hissuma-materiales.com.ar/</t>
  </si>
  <si>
    <t xml:space="preserve">Cerca de AMBA. Ideal para protecciones CC. Preguntá si vende por unidad.</t>
  </si>
  <si>
    <t xml:space="preserve">Enerton</t>
  </si>
  <si>
    <t xml:space="preserve">Importador mayorista</t>
  </si>
  <si>
    <t xml:space="preserve">Paneles, inversores Deye, baterías Deye y Sunwoda</t>
  </si>
  <si>
    <t xml:space="preserve">https://www.enerton.com.ar/</t>
  </si>
  <si>
    <t xml:space="preserve">Para cuando tengas volumen.</t>
  </si>
  <si>
    <t xml:space="preserve">ADN Solar</t>
  </si>
  <si>
    <t xml:space="preserve">Paneles, inversores, baterías de litio, kits</t>
  </si>
  <si>
    <t xml:space="preserve">https://adnsolar.com.ar/</t>
  </si>
  <si>
    <t xml:space="preserve">Precios en pesos online.</t>
  </si>
  <si>
    <t xml:space="preserve">FC Solar Energy</t>
  </si>
  <si>
    <t xml:space="preserve">Local comercial</t>
  </si>
  <si>
    <t xml:space="preserve">Gerli (Bs. As.)</t>
  </si>
  <si>
    <t xml:space="preserve">Kits, baterías Pylontech, inversores</t>
  </si>
  <si>
    <t xml:space="preserve">https://www.fcsolarenergy.com/</t>
  </si>
  <si>
    <t xml:space="preserve">Local físico en AMBA.</t>
  </si>
  <si>
    <t xml:space="preserve">Todo Solar</t>
  </si>
  <si>
    <t xml:space="preserve">Paneles, inversores, baterías gel y litio</t>
  </si>
  <si>
    <t xml:space="preserve">https://www.todosolar.com.ar/</t>
  </si>
  <si>
    <t xml:space="preserve">Baterías Pylontech</t>
  </si>
  <si>
    <t xml:space="preserve">https://mcsol.com.ar/</t>
  </si>
  <si>
    <t xml:space="preserve">Revisar stock.</t>
  </si>
  <si>
    <t xml:space="preserve">Casa de electricidad del barrio</t>
  </si>
  <si>
    <t xml:space="preserve">Comercio</t>
  </si>
  <si>
    <t xml:space="preserve">Tu zona</t>
  </si>
  <si>
    <t xml:space="preserve">Térmicas, diferenciales, DPS CA, cañería, cable CA</t>
  </si>
  <si>
    <t xml:space="preserve">Pedí precio de gremio/instalador.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</si>
</sst>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dd/mm/yyyy"/>
    <numFmt numFmtId="167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enertik.com/ar/tienda/" TargetMode="External"/><Relationship Id="rId3" Type="http://schemas.openxmlformats.org/officeDocument/2006/relationships/hyperlink" Target="https://shop.enertik.ar/shop/category/paneles-solares-247" TargetMode="External"/><Relationship Id="rId4" Type="http://schemas.openxmlformats.org/officeDocument/2006/relationships/hyperlink" Target="https://listado.mercadolibre.com.ar/panel-solar-550w" TargetMode="External"/><Relationship Id="rId5" Type="http://schemas.openxmlformats.org/officeDocument/2006/relationships/hyperlink" Target="https://texsolar.com.ar/panel-solar-580w/" TargetMode="External"/><Relationship Id="rId6" Type="http://schemas.openxmlformats.org/officeDocument/2006/relationships/hyperlink" Target="https://articulo.mercadolibre.com.ar/MLA-1913420384-panel-solar-bifacial-monocristalino-580w-media-celda-perc-_JM" TargetMode="External"/><Relationship Id="rId7" Type="http://schemas.openxmlformats.org/officeDocument/2006/relationships/hyperlink" Target="https://jfsolar.com.ar/paneles-solares/" TargetMode="External"/><Relationship Id="rId8" Type="http://schemas.openxmlformats.org/officeDocument/2006/relationships/hyperlink" Target="https://jfsolar.com.ar/paneles-solares/" TargetMode="External"/><Relationship Id="rId9" Type="http://schemas.openxmlformats.org/officeDocument/2006/relationships/hyperlink" Target="https://shop.suriaenergy.com/40c760-Inversores%20On%20Grid" TargetMode="External"/><Relationship Id="rId10" Type="http://schemas.openxmlformats.org/officeDocument/2006/relationships/hyperlink" Target="https://listado.mercadolibre.com.ar/inversor-on-grid-3-kw" TargetMode="External"/><Relationship Id="rId11" Type="http://schemas.openxmlformats.org/officeDocument/2006/relationships/hyperlink" Target="https://shop.suriaenergy.com/40c760-Inversores%20On%20Grid" TargetMode="External"/><Relationship Id="rId12" Type="http://schemas.openxmlformats.org/officeDocument/2006/relationships/hyperlink" Target="https://www.ingenieriaboggio.com.ar/shop/category/energia-solar-inversores-on-grid-3205" TargetMode="External"/><Relationship Id="rId13" Type="http://schemas.openxmlformats.org/officeDocument/2006/relationships/hyperlink" Target="https://articulo.mercadolibre.com.ar/MLA-1142269496-inversor-hibrido-monofasico-5kw-deye-48v-220v-solar-_JM" TargetMode="External"/><Relationship Id="rId14" Type="http://schemas.openxmlformats.org/officeDocument/2006/relationships/hyperlink" Target="https://shop.suriaenergy.com/40c760-Inversores%20On%20Grid" TargetMode="External"/><Relationship Id="rId15" Type="http://schemas.openxmlformats.org/officeDocument/2006/relationships/hyperlink" Target="https://electroimpulso.com.ar/catalogo/producto/growatt-spm-limitador-de-inyeccion-monofasico/" TargetMode="External"/><Relationship Id="rId16" Type="http://schemas.openxmlformats.org/officeDocument/2006/relationships/hyperlink" Target="https://shop.suriaenergy.com/40c760-Inversores%20On%20Grid" TargetMode="External"/><Relationship Id="rId17" Type="http://schemas.openxmlformats.org/officeDocument/2006/relationships/hyperlink" Target="https://enertik.com/ar/categoria/baterias/litio" TargetMode="External"/><Relationship Id="rId18" Type="http://schemas.openxmlformats.org/officeDocument/2006/relationships/hyperlink" Target="https://www.mercadolibre.com.ar/bateria-litio-solar-48v-dyness-dl50c-100ah-lifepo4-51kw/up/MLAU452853384" TargetMode="External"/><Relationship Id="rId19" Type="http://schemas.openxmlformats.org/officeDocument/2006/relationships/hyperlink" Target="https://enertik.com/ar/marca/pylontech/" TargetMode="External"/><Relationship Id="rId20" Type="http://schemas.openxmlformats.org/officeDocument/2006/relationships/hyperlink" Target="https://mcsol.com.ar/productos/bateria-pylontech-us5000-100ah-48v-litio-lifepo4/" TargetMode="External"/><Relationship Id="rId21" Type="http://schemas.openxmlformats.org/officeDocument/2006/relationships/hyperlink" Target="https://listado.mercadolibre.com.ar/cable-solar-6mm" TargetMode="External"/><Relationship Id="rId22" Type="http://schemas.openxmlformats.org/officeDocument/2006/relationships/hyperlink" Target="https://listado.mercadolibre.com.ar/cable-solar-6mm" TargetMode="External"/><Relationship Id="rId23" Type="http://schemas.openxmlformats.org/officeDocument/2006/relationships/hyperlink" Target="https://www.emakers.com.ar/tienda/energia-solar-y-alternativas/accesorios-solar" TargetMode="External"/><Relationship Id="rId24" Type="http://schemas.openxmlformats.org/officeDocument/2006/relationships/hyperlink" Target="https://listado.mercadolibre.com.ar/conectores-mc4-cable" TargetMode="External"/><Relationship Id="rId25" Type="http://schemas.openxmlformats.org/officeDocument/2006/relationships/hyperlink" Target="https://www.hissuma-materiales.com.ar/productos/porta-fusible-con-fusible-cc-para-riel-din-25a-suntree/" TargetMode="External"/><Relationship Id="rId26" Type="http://schemas.openxmlformats.org/officeDocument/2006/relationships/drawing" Target="../drawings/drawing1.xml"/><Relationship Id="rId27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enertik.com/ar/tienda/" TargetMode="External"/><Relationship Id="rId2" Type="http://schemas.openxmlformats.org/officeDocument/2006/relationships/hyperlink" Target="https://www.mercadolibre.com.ar/" TargetMode="External"/><Relationship Id="rId3" Type="http://schemas.openxmlformats.org/officeDocument/2006/relationships/hyperlink" Target="https://shop.suriaenergy.com/" TargetMode="External"/><Relationship Id="rId4" Type="http://schemas.openxmlformats.org/officeDocument/2006/relationships/hyperlink" Target="https://electroimpulso.com.ar/" TargetMode="External"/><Relationship Id="rId5" Type="http://schemas.openxmlformats.org/officeDocument/2006/relationships/hyperlink" Target="https://www.ingenieriaboggio.com.ar/" TargetMode="External"/><Relationship Id="rId6" Type="http://schemas.openxmlformats.org/officeDocument/2006/relationships/hyperlink" Target="https://jfsolar.com.ar/" TargetMode="External"/><Relationship Id="rId7" Type="http://schemas.openxmlformats.org/officeDocument/2006/relationships/hyperlink" Target="https://texsolar.com.ar/" TargetMode="External"/><Relationship Id="rId8" Type="http://schemas.openxmlformats.org/officeDocument/2006/relationships/hyperlink" Target="https://www.hissuma-materiales.com.ar/" TargetMode="External"/><Relationship Id="rId9" Type="http://schemas.openxmlformats.org/officeDocument/2006/relationships/hyperlink" Target="https://www.enerton.com.ar/" TargetMode="External"/><Relationship Id="rId10" Type="http://schemas.openxmlformats.org/officeDocument/2006/relationships/hyperlink" Target="https://adnsolar.com.ar/" TargetMode="External"/><Relationship Id="rId11" Type="http://schemas.openxmlformats.org/officeDocument/2006/relationships/hyperlink" Target="https://www.fcsolarenergy.com/" TargetMode="External"/><Relationship Id="rId12" Type="http://schemas.openxmlformats.org/officeDocument/2006/relationships/hyperlink" Target="https://www.todosolar.com.ar/" TargetMode="External"/><Relationship Id="rId13" Type="http://schemas.openxmlformats.org/officeDocument/2006/relationships/hyperlink" Target="https://mcsol.com.a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6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6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26.8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26.8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1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  <row r="10" customFormat="false" ht="26.85" hidden="false" customHeight="false" outlineLevel="0" collapsed="false">
      <c r="A10" s="4" t="s">
        <v>26</v>
      </c>
      <c r="B10" s="4" t="s">
        <v>27</v>
      </c>
      <c r="C10" s="4" t="s">
        <v>28</v>
      </c>
      <c r="D10" s="4" t="s">
        <v>29</v>
      </c>
    </row>
    <row r="11" customFormat="false" ht="26.85" hidden="false" customHeight="false" outlineLevel="0" collapsed="false">
      <c r="A11" s="4" t="s">
        <v>30</v>
      </c>
      <c r="B11" s="4" t="s">
        <v>31</v>
      </c>
      <c r="C11" s="4" t="s">
        <v>32</v>
      </c>
      <c r="D11" s="4" t="s">
        <v>33</v>
      </c>
    </row>
    <row r="12" customFormat="false" ht="26.85" hidden="false" customHeight="false" outlineLevel="0" collapsed="false">
      <c r="A12" s="4" t="s">
        <v>34</v>
      </c>
      <c r="B12" s="4" t="s">
        <v>35</v>
      </c>
      <c r="C12" s="4" t="s">
        <v>36</v>
      </c>
      <c r="D12" s="4" t="s">
        <v>37</v>
      </c>
    </row>
    <row r="13" customFormat="false" ht="26.85" hidden="false" customHeight="false" outlineLevel="0" collapsed="false">
      <c r="A13" s="4" t="s">
        <v>38</v>
      </c>
      <c r="B13" s="4" t="s">
        <v>39</v>
      </c>
      <c r="C13" s="4" t="s">
        <v>40</v>
      </c>
      <c r="D13" s="4" t="s">
        <v>41</v>
      </c>
    </row>
    <row r="15" customFormat="false" ht="15" hidden="false" customHeight="false" outlineLevel="0" collapsed="false">
      <c r="A15" s="5" t="s">
        <v>42</v>
      </c>
    </row>
    <row r="16" customFormat="false" ht="15" hidden="false" customHeight="false" outlineLevel="0" collapsed="false">
      <c r="A16" s="6" t="s">
        <v>43</v>
      </c>
    </row>
    <row r="17" customFormat="false" ht="15" hidden="false" customHeight="false" outlineLevel="0" collapsed="false">
      <c r="A17" s="6" t="s">
        <v>44</v>
      </c>
    </row>
    <row r="18" customFormat="false" ht="15" hidden="false" customHeight="false" outlineLevel="0" collapsed="false">
      <c r="A18" s="6" t="s">
        <v>45</v>
      </c>
    </row>
    <row r="19" customFormat="false" ht="15" hidden="false" customHeight="false" outlineLevel="0" collapsed="false">
      <c r="A19" s="6"/>
    </row>
    <row r="20" customFormat="false" ht="15" hidden="false" customHeight="false" outlineLevel="0" collapsed="false">
      <c r="A20" s="5" t="s">
        <v>46</v>
      </c>
    </row>
    <row r="21" customFormat="false" ht="15" hidden="false" customHeight="false" outlineLevel="0" collapsed="false">
      <c r="A21" s="6" t="s">
        <v>47</v>
      </c>
    </row>
    <row r="22" customFormat="false" ht="15" hidden="false" customHeight="false" outlineLevel="0" collapsed="false">
      <c r="A22" s="6" t="s">
        <v>48</v>
      </c>
    </row>
    <row r="23" customFormat="false" ht="15" hidden="false" customHeight="false" outlineLevel="0" collapsed="false">
      <c r="A23" s="6" t="s">
        <v>49</v>
      </c>
    </row>
    <row r="24" customFormat="false" ht="15" hidden="false" customHeight="false" outlineLevel="0" collapsed="false">
      <c r="A24" s="6" t="s">
        <v>50</v>
      </c>
    </row>
    <row r="25" customFormat="false" ht="15" hidden="false" customHeight="false" outlineLevel="0" collapsed="false">
      <c r="A25" s="6" t="s">
        <v>51</v>
      </c>
    </row>
    <row r="26" customFormat="false" ht="15" hidden="false" customHeight="false" outlineLevel="0" collapsed="false">
      <c r="A26" s="6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7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5" min="15" style="0" width="40"/>
    <col collapsed="false" customWidth="true" hidden="false" outlineLevel="0" max="16" min="16" style="0" width="42"/>
  </cols>
  <sheetData>
    <row r="1" customFormat="false" ht="39.55" hidden="false" customHeight="false" outlineLevel="0" collapsed="false">
      <c r="A1" s="7" t="s">
        <v>53</v>
      </c>
      <c r="B1" s="7" t="s">
        <v>2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  <c r="L1" s="7" t="s">
        <v>63</v>
      </c>
      <c r="M1" s="7" t="s">
        <v>64</v>
      </c>
      <c r="N1" s="7" t="s">
        <v>65</v>
      </c>
      <c r="O1" s="7" t="s">
        <v>66</v>
      </c>
      <c r="P1" s="7" t="s">
        <v>67</v>
      </c>
    </row>
    <row r="2" customFormat="false" ht="15" hidden="false" customHeight="false" outlineLevel="0" collapsed="false">
      <c r="A2" s="8" t="s">
        <v>68</v>
      </c>
      <c r="B2" s="8" t="s">
        <v>69</v>
      </c>
      <c r="C2" s="4" t="s">
        <v>70</v>
      </c>
      <c r="D2" s="8" t="s">
        <v>71</v>
      </c>
      <c r="E2" s="8" t="n">
        <v>550</v>
      </c>
      <c r="F2" s="8" t="s">
        <v>72</v>
      </c>
      <c r="G2" s="8" t="s">
        <v>73</v>
      </c>
      <c r="H2" s="9" t="n">
        <v>224000</v>
      </c>
      <c r="I2" s="8" t="s">
        <v>74</v>
      </c>
      <c r="J2" s="8" t="s">
        <v>75</v>
      </c>
      <c r="K2" s="10"/>
      <c r="L2" s="11"/>
      <c r="M2" s="12" t="n">
        <f aca="false">IF(K2&lt;&gt;"",K2,IF(H2="","",H2))</f>
        <v>224000</v>
      </c>
      <c r="N2" s="13" t="n">
        <f aca="false">IF(AND(ISNUMBER(E2),ISNUMBER(M2),OR(F2="W",F2="kWh")),M2/E2,"")</f>
        <v>407.272727272727</v>
      </c>
      <c r="O2" s="14" t="s">
        <v>76</v>
      </c>
      <c r="P2" s="4" t="s">
        <v>77</v>
      </c>
    </row>
    <row r="3" customFormat="false" ht="15" hidden="false" customHeight="false" outlineLevel="0" collapsed="false">
      <c r="A3" s="8" t="s">
        <v>78</v>
      </c>
      <c r="B3" s="8" t="s">
        <v>69</v>
      </c>
      <c r="C3" s="4" t="s">
        <v>79</v>
      </c>
      <c r="D3" s="8" t="s">
        <v>71</v>
      </c>
      <c r="E3" s="8" t="n">
        <v>550</v>
      </c>
      <c r="F3" s="8" t="s">
        <v>72</v>
      </c>
      <c r="G3" s="8" t="s">
        <v>80</v>
      </c>
      <c r="H3" s="9" t="n">
        <v>235900</v>
      </c>
      <c r="I3" s="8" t="s">
        <v>74</v>
      </c>
      <c r="J3" s="8" t="s">
        <v>81</v>
      </c>
      <c r="K3" s="10"/>
      <c r="L3" s="11"/>
      <c r="M3" s="12" t="n">
        <f aca="false">IF(K3&lt;&gt;"",K3,IF(H3="","",H3))</f>
        <v>235900</v>
      </c>
      <c r="N3" s="13" t="n">
        <f aca="false">IF(AND(ISNUMBER(E3),ISNUMBER(M3),OR(F3="W",F3="kWh")),M3/E3,"")</f>
        <v>428.909090909091</v>
      </c>
      <c r="O3" s="14" t="s">
        <v>82</v>
      </c>
      <c r="P3" s="4" t="s">
        <v>83</v>
      </c>
    </row>
    <row r="4" customFormat="false" ht="15" hidden="false" customHeight="false" outlineLevel="0" collapsed="false">
      <c r="A4" s="8" t="s">
        <v>84</v>
      </c>
      <c r="B4" s="8" t="s">
        <v>69</v>
      </c>
      <c r="C4" s="4" t="s">
        <v>79</v>
      </c>
      <c r="D4" s="8" t="s">
        <v>71</v>
      </c>
      <c r="E4" s="8" t="n">
        <v>550</v>
      </c>
      <c r="F4" s="8" t="s">
        <v>72</v>
      </c>
      <c r="G4" s="8" t="s">
        <v>85</v>
      </c>
      <c r="H4" s="9" t="n">
        <v>244065</v>
      </c>
      <c r="I4" s="8" t="s">
        <v>74</v>
      </c>
      <c r="J4" s="8" t="s">
        <v>86</v>
      </c>
      <c r="K4" s="10"/>
      <c r="L4" s="11"/>
      <c r="M4" s="12" t="n">
        <f aca="false">IF(K4&lt;&gt;"",K4,IF(H4="","",H4))</f>
        <v>244065</v>
      </c>
      <c r="N4" s="13" t="n">
        <f aca="false">IF(AND(ISNUMBER(E4),ISNUMBER(M4),OR(F4="W",F4="kWh")),M4/E4,"")</f>
        <v>443.754545454545</v>
      </c>
      <c r="O4" s="14" t="s">
        <v>87</v>
      </c>
      <c r="P4" s="4" t="s">
        <v>88</v>
      </c>
    </row>
    <row r="5" customFormat="false" ht="15" hidden="false" customHeight="false" outlineLevel="0" collapsed="false">
      <c r="A5" s="8" t="s">
        <v>89</v>
      </c>
      <c r="B5" s="8" t="s">
        <v>69</v>
      </c>
      <c r="C5" s="4" t="s">
        <v>90</v>
      </c>
      <c r="D5" s="8" t="s">
        <v>91</v>
      </c>
      <c r="E5" s="8" t="n">
        <v>580</v>
      </c>
      <c r="F5" s="8" t="s">
        <v>72</v>
      </c>
      <c r="G5" s="8" t="s">
        <v>92</v>
      </c>
      <c r="H5" s="9" t="n">
        <f aca="false">179900*1.21</f>
        <v>217679</v>
      </c>
      <c r="I5" s="8" t="s">
        <v>93</v>
      </c>
      <c r="J5" s="8" t="s">
        <v>94</v>
      </c>
      <c r="K5" s="10"/>
      <c r="L5" s="11"/>
      <c r="M5" s="12" t="n">
        <f aca="false">IF(K5&lt;&gt;"",K5,IF(H5="","",H5))</f>
        <v>217679</v>
      </c>
      <c r="N5" s="13" t="n">
        <f aca="false">IF(AND(ISNUMBER(E5),ISNUMBER(M5),OR(F5="W",F5="kWh")),M5/E5,"")</f>
        <v>375.308620689655</v>
      </c>
      <c r="O5" s="14" t="s">
        <v>95</v>
      </c>
      <c r="P5" s="4" t="s">
        <v>96</v>
      </c>
    </row>
    <row r="6" customFormat="false" ht="15" hidden="false" customHeight="false" outlineLevel="0" collapsed="false">
      <c r="A6" s="8" t="s">
        <v>97</v>
      </c>
      <c r="B6" s="8" t="s">
        <v>69</v>
      </c>
      <c r="C6" s="4" t="s">
        <v>98</v>
      </c>
      <c r="D6" s="8" t="s">
        <v>99</v>
      </c>
      <c r="E6" s="8" t="n">
        <v>580</v>
      </c>
      <c r="F6" s="8" t="s">
        <v>72</v>
      </c>
      <c r="G6" s="8" t="s">
        <v>100</v>
      </c>
      <c r="H6" s="9" t="n">
        <v>220775</v>
      </c>
      <c r="I6" s="8" t="s">
        <v>74</v>
      </c>
      <c r="J6" s="8" t="s">
        <v>86</v>
      </c>
      <c r="K6" s="10"/>
      <c r="L6" s="11"/>
      <c r="M6" s="12" t="n">
        <f aca="false">IF(K6&lt;&gt;"",K6,IF(H6="","",H6))</f>
        <v>220775</v>
      </c>
      <c r="N6" s="13" t="n">
        <f aca="false">IF(AND(ISNUMBER(E6),ISNUMBER(M6),OR(F6="W",F6="kWh")),M6/E6,"")</f>
        <v>380.646551724138</v>
      </c>
      <c r="O6" s="14" t="s">
        <v>101</v>
      </c>
      <c r="P6" s="4" t="s">
        <v>102</v>
      </c>
    </row>
    <row r="7" customFormat="false" ht="15" hidden="false" customHeight="false" outlineLevel="0" collapsed="false">
      <c r="A7" s="8" t="s">
        <v>103</v>
      </c>
      <c r="B7" s="8" t="s">
        <v>69</v>
      </c>
      <c r="C7" s="4" t="s">
        <v>104</v>
      </c>
      <c r="D7" s="8" t="s">
        <v>105</v>
      </c>
      <c r="E7" s="8" t="n">
        <v>580</v>
      </c>
      <c r="F7" s="8" t="s">
        <v>72</v>
      </c>
      <c r="G7" s="8" t="s">
        <v>106</v>
      </c>
      <c r="H7" s="9" t="n">
        <v>215579.01</v>
      </c>
      <c r="I7" s="8" t="s">
        <v>74</v>
      </c>
      <c r="J7" s="8" t="s">
        <v>107</v>
      </c>
      <c r="K7" s="10"/>
      <c r="L7" s="11"/>
      <c r="M7" s="12" t="n">
        <f aca="false">IF(K7&lt;&gt;"",K7,IF(H7="","",H7))</f>
        <v>215579.01</v>
      </c>
      <c r="N7" s="13" t="n">
        <f aca="false">IF(AND(ISNUMBER(E7),ISNUMBER(M7),OR(F7="W",F7="kWh")),M7/E7,"")</f>
        <v>371.687948275862</v>
      </c>
      <c r="O7" s="14" t="s">
        <v>108</v>
      </c>
      <c r="P7" s="4" t="s">
        <v>109</v>
      </c>
    </row>
    <row r="8" customFormat="false" ht="15" hidden="false" customHeight="false" outlineLevel="0" collapsed="false">
      <c r="A8" s="8" t="s">
        <v>110</v>
      </c>
      <c r="B8" s="8" t="s">
        <v>69</v>
      </c>
      <c r="C8" s="4" t="s">
        <v>111</v>
      </c>
      <c r="D8" s="8" t="s">
        <v>112</v>
      </c>
      <c r="E8" s="8" t="n">
        <v>610</v>
      </c>
      <c r="F8" s="8" t="s">
        <v>72</v>
      </c>
      <c r="G8" s="8" t="s">
        <v>106</v>
      </c>
      <c r="H8" s="9" t="n">
        <v>267094.48</v>
      </c>
      <c r="I8" s="8" t="s">
        <v>74</v>
      </c>
      <c r="J8" s="8" t="s">
        <v>107</v>
      </c>
      <c r="K8" s="10"/>
      <c r="L8" s="11"/>
      <c r="M8" s="12" t="n">
        <f aca="false">IF(K8&lt;&gt;"",K8,IF(H8="","",H8))</f>
        <v>267094.48</v>
      </c>
      <c r="N8" s="13" t="n">
        <f aca="false">IF(AND(ISNUMBER(E8),ISNUMBER(M8),OR(F8="W",F8="kWh")),M8/E8,"")</f>
        <v>437.859803278689</v>
      </c>
      <c r="O8" s="14" t="s">
        <v>108</v>
      </c>
      <c r="P8" s="4" t="s">
        <v>109</v>
      </c>
    </row>
    <row r="9" customFormat="false" ht="15" hidden="false" customHeight="false" outlineLevel="0" collapsed="false">
      <c r="A9" s="8" t="s">
        <v>113</v>
      </c>
      <c r="B9" s="8" t="s">
        <v>114</v>
      </c>
      <c r="C9" s="4" t="s">
        <v>115</v>
      </c>
      <c r="D9" s="8" t="s">
        <v>116</v>
      </c>
      <c r="E9" s="8" t="n">
        <v>2000</v>
      </c>
      <c r="F9" s="8" t="s">
        <v>72</v>
      </c>
      <c r="G9" s="8" t="s">
        <v>117</v>
      </c>
      <c r="H9" s="9" t="n">
        <v>726754</v>
      </c>
      <c r="I9" s="8" t="s">
        <v>118</v>
      </c>
      <c r="J9" s="8" t="s">
        <v>94</v>
      </c>
      <c r="K9" s="10"/>
      <c r="L9" s="11"/>
      <c r="M9" s="12" t="n">
        <f aca="false">IF(K9&lt;&gt;"",K9,IF(H9="","",H9))</f>
        <v>726754</v>
      </c>
      <c r="N9" s="13" t="n">
        <f aca="false">IF(AND(ISNUMBER(E9),ISNUMBER(M9),OR(F9="W",F9="kWh")),M9/E9,"")</f>
        <v>363.377</v>
      </c>
      <c r="O9" s="14" t="s">
        <v>119</v>
      </c>
      <c r="P9" s="4" t="s">
        <v>120</v>
      </c>
    </row>
    <row r="10" customFormat="false" ht="15" hidden="false" customHeight="false" outlineLevel="0" collapsed="false">
      <c r="A10" s="8" t="s">
        <v>121</v>
      </c>
      <c r="B10" s="8" t="s">
        <v>114</v>
      </c>
      <c r="C10" s="4" t="s">
        <v>122</v>
      </c>
      <c r="D10" s="8" t="s">
        <v>116</v>
      </c>
      <c r="E10" s="8" t="n">
        <v>3000</v>
      </c>
      <c r="F10" s="8" t="s">
        <v>72</v>
      </c>
      <c r="G10" s="8" t="s">
        <v>100</v>
      </c>
      <c r="H10" s="9" t="n">
        <v>936889</v>
      </c>
      <c r="I10" s="8" t="s">
        <v>74</v>
      </c>
      <c r="J10" s="8" t="s">
        <v>94</v>
      </c>
      <c r="K10" s="10"/>
      <c r="L10" s="11"/>
      <c r="M10" s="12" t="n">
        <f aca="false">IF(K10&lt;&gt;"",K10,IF(H10="","",H10))</f>
        <v>936889</v>
      </c>
      <c r="N10" s="13" t="n">
        <f aca="false">IF(AND(ISNUMBER(E10),ISNUMBER(M10),OR(F10="W",F10="kWh")),M10/E10,"")</f>
        <v>312.296333333333</v>
      </c>
      <c r="O10" s="14" t="s">
        <v>123</v>
      </c>
      <c r="P10" s="4" t="s">
        <v>124</v>
      </c>
    </row>
    <row r="11" customFormat="false" ht="15" hidden="false" customHeight="false" outlineLevel="0" collapsed="false">
      <c r="A11" s="8" t="s">
        <v>125</v>
      </c>
      <c r="B11" s="8" t="s">
        <v>114</v>
      </c>
      <c r="C11" s="4" t="s">
        <v>126</v>
      </c>
      <c r="D11" s="8" t="s">
        <v>116</v>
      </c>
      <c r="E11" s="8" t="n">
        <v>4000</v>
      </c>
      <c r="F11" s="8" t="s">
        <v>72</v>
      </c>
      <c r="G11" s="8" t="s">
        <v>117</v>
      </c>
      <c r="H11" s="9" t="n">
        <v>1128781</v>
      </c>
      <c r="I11" s="8" t="s">
        <v>118</v>
      </c>
      <c r="J11" s="8" t="s">
        <v>94</v>
      </c>
      <c r="K11" s="10"/>
      <c r="L11" s="11"/>
      <c r="M11" s="12" t="n">
        <f aca="false">IF(K11&lt;&gt;"",K11,IF(H11="","",H11))</f>
        <v>1128781</v>
      </c>
      <c r="N11" s="13" t="n">
        <f aca="false">IF(AND(ISNUMBER(E11),ISNUMBER(M11),OR(F11="W",F11="kWh")),M11/E11,"")</f>
        <v>282.19525</v>
      </c>
      <c r="O11" s="14" t="s">
        <v>119</v>
      </c>
      <c r="P11" s="4"/>
    </row>
    <row r="12" customFormat="false" ht="15" hidden="false" customHeight="false" outlineLevel="0" collapsed="false">
      <c r="A12" s="8" t="s">
        <v>127</v>
      </c>
      <c r="B12" s="8" t="s">
        <v>114</v>
      </c>
      <c r="C12" s="4" t="s">
        <v>128</v>
      </c>
      <c r="D12" s="8" t="s">
        <v>129</v>
      </c>
      <c r="E12" s="8" t="n">
        <v>2000</v>
      </c>
      <c r="F12" s="8" t="s">
        <v>72</v>
      </c>
      <c r="G12" s="8" t="s">
        <v>130</v>
      </c>
      <c r="H12" s="9" t="n">
        <v>650141.55</v>
      </c>
      <c r="I12" s="8" t="s">
        <v>131</v>
      </c>
      <c r="J12" s="8" t="s">
        <v>94</v>
      </c>
      <c r="K12" s="10"/>
      <c r="L12" s="11"/>
      <c r="M12" s="12" t="n">
        <f aca="false">IF(K12&lt;&gt;"",K12,IF(H12="","",H12))</f>
        <v>650141.55</v>
      </c>
      <c r="N12" s="13" t="n">
        <f aca="false">IF(AND(ISNUMBER(E12),ISNUMBER(M12),OR(F12="W",F12="kWh")),M12/E12,"")</f>
        <v>325.070775</v>
      </c>
      <c r="O12" s="14" t="s">
        <v>132</v>
      </c>
      <c r="P12" s="4" t="s">
        <v>133</v>
      </c>
    </row>
    <row r="13" customFormat="false" ht="26.85" hidden="false" customHeight="false" outlineLevel="0" collapsed="false">
      <c r="A13" s="8" t="s">
        <v>134</v>
      </c>
      <c r="B13" s="8" t="s">
        <v>14</v>
      </c>
      <c r="C13" s="4" t="s">
        <v>135</v>
      </c>
      <c r="D13" s="8" t="s">
        <v>116</v>
      </c>
      <c r="E13" s="8" t="n">
        <v>5000</v>
      </c>
      <c r="F13" s="8" t="s">
        <v>72</v>
      </c>
      <c r="G13" s="8" t="s">
        <v>100</v>
      </c>
      <c r="H13" s="9" t="n">
        <v>3916000</v>
      </c>
      <c r="I13" s="8" t="s">
        <v>74</v>
      </c>
      <c r="J13" s="8" t="s">
        <v>86</v>
      </c>
      <c r="K13" s="10"/>
      <c r="L13" s="11"/>
      <c r="M13" s="12" t="n">
        <f aca="false">IF(K13&lt;&gt;"",K13,IF(H13="","",H13))</f>
        <v>3916000</v>
      </c>
      <c r="N13" s="13" t="n">
        <f aca="false">IF(AND(ISNUMBER(E13),ISNUMBER(M13),OR(F13="W",F13="kWh")),M13/E13,"")</f>
        <v>783.2</v>
      </c>
      <c r="O13" s="14" t="s">
        <v>136</v>
      </c>
      <c r="P13" s="4" t="s">
        <v>137</v>
      </c>
    </row>
    <row r="14" customFormat="false" ht="15" hidden="false" customHeight="false" outlineLevel="0" collapsed="false">
      <c r="A14" s="8" t="s">
        <v>138</v>
      </c>
      <c r="B14" s="8" t="s">
        <v>139</v>
      </c>
      <c r="C14" s="4" t="s">
        <v>140</v>
      </c>
      <c r="D14" s="8" t="s">
        <v>141</v>
      </c>
      <c r="E14" s="8"/>
      <c r="F14" s="8" t="s">
        <v>142</v>
      </c>
      <c r="G14" s="8" t="s">
        <v>117</v>
      </c>
      <c r="H14" s="9" t="n">
        <v>231946</v>
      </c>
      <c r="I14" s="8" t="s">
        <v>118</v>
      </c>
      <c r="J14" s="8" t="s">
        <v>94</v>
      </c>
      <c r="K14" s="10"/>
      <c r="L14" s="11"/>
      <c r="M14" s="12" t="n">
        <f aca="false">IF(K14&lt;&gt;"",K14,IF(H14="","",H14))</f>
        <v>231946</v>
      </c>
      <c r="N14" s="13" t="str">
        <f aca="false">IF(AND(ISNUMBER(E14),ISNUMBER(M14),OR(F14="W",F14="kWh")),M14/E14,"")</f>
        <v/>
      </c>
      <c r="O14" s="14" t="s">
        <v>119</v>
      </c>
      <c r="P14" s="4" t="s">
        <v>143</v>
      </c>
    </row>
    <row r="15" customFormat="false" ht="15" hidden="false" customHeight="false" outlineLevel="0" collapsed="false">
      <c r="A15" s="8" t="s">
        <v>144</v>
      </c>
      <c r="B15" s="8" t="s">
        <v>139</v>
      </c>
      <c r="C15" s="4" t="s">
        <v>140</v>
      </c>
      <c r="D15" s="8" t="s">
        <v>141</v>
      </c>
      <c r="E15" s="8"/>
      <c r="F15" s="8" t="s">
        <v>142</v>
      </c>
      <c r="G15" s="8" t="s">
        <v>145</v>
      </c>
      <c r="H15" s="9" t="n">
        <v>329999</v>
      </c>
      <c r="I15" s="8" t="s">
        <v>118</v>
      </c>
      <c r="J15" s="8" t="s">
        <v>94</v>
      </c>
      <c r="K15" s="10"/>
      <c r="L15" s="11"/>
      <c r="M15" s="12" t="n">
        <f aca="false">IF(K15&lt;&gt;"",K15,IF(H15="","",H15))</f>
        <v>329999</v>
      </c>
      <c r="N15" s="13" t="str">
        <f aca="false">IF(AND(ISNUMBER(E15),ISNUMBER(M15),OR(F15="W",F15="kWh")),M15/E15,"")</f>
        <v/>
      </c>
      <c r="O15" s="14" t="s">
        <v>146</v>
      </c>
      <c r="P15" s="4"/>
    </row>
    <row r="16" customFormat="false" ht="15" hidden="false" customHeight="false" outlineLevel="0" collapsed="false">
      <c r="A16" s="8" t="s">
        <v>147</v>
      </c>
      <c r="B16" s="8" t="s">
        <v>139</v>
      </c>
      <c r="C16" s="4" t="s">
        <v>148</v>
      </c>
      <c r="D16" s="8" t="s">
        <v>141</v>
      </c>
      <c r="E16" s="8"/>
      <c r="F16" s="8" t="s">
        <v>142</v>
      </c>
      <c r="G16" s="8" t="s">
        <v>117</v>
      </c>
      <c r="H16" s="9" t="n">
        <v>368535</v>
      </c>
      <c r="I16" s="8" t="s">
        <v>118</v>
      </c>
      <c r="J16" s="8" t="s">
        <v>94</v>
      </c>
      <c r="K16" s="10"/>
      <c r="L16" s="11"/>
      <c r="M16" s="12" t="n">
        <f aca="false">IF(K16&lt;&gt;"",K16,IF(H16="","",H16))</f>
        <v>368535</v>
      </c>
      <c r="N16" s="13" t="str">
        <f aca="false">IF(AND(ISNUMBER(E16),ISNUMBER(M16),OR(F16="W",F16="kWh")),M16/E16,"")</f>
        <v/>
      </c>
      <c r="O16" s="14" t="s">
        <v>119</v>
      </c>
      <c r="P16" s="4"/>
    </row>
    <row r="17" customFormat="false" ht="15" hidden="false" customHeight="false" outlineLevel="0" collapsed="false">
      <c r="A17" s="8" t="s">
        <v>149</v>
      </c>
      <c r="B17" s="8" t="s">
        <v>150</v>
      </c>
      <c r="C17" s="4" t="s">
        <v>151</v>
      </c>
      <c r="D17" s="8" t="s">
        <v>116</v>
      </c>
      <c r="E17" s="8" t="n">
        <v>5.12</v>
      </c>
      <c r="F17" s="8" t="s">
        <v>152</v>
      </c>
      <c r="G17" s="8" t="s">
        <v>73</v>
      </c>
      <c r="H17" s="9" t="n">
        <v>2752700</v>
      </c>
      <c r="I17" s="8" t="s">
        <v>74</v>
      </c>
      <c r="J17" s="8" t="s">
        <v>94</v>
      </c>
      <c r="K17" s="10"/>
      <c r="L17" s="11"/>
      <c r="M17" s="12" t="n">
        <f aca="false">IF(K17&lt;&gt;"",K17,IF(H17="","",H17))</f>
        <v>2752700</v>
      </c>
      <c r="N17" s="13" t="n">
        <f aca="false">IF(AND(ISNUMBER(E17),ISNUMBER(M17),OR(F17="W",F17="kWh")),M17/E17,"")</f>
        <v>537636.71875</v>
      </c>
      <c r="O17" s="14" t="s">
        <v>153</v>
      </c>
      <c r="P17" s="4" t="s">
        <v>154</v>
      </c>
    </row>
    <row r="18" customFormat="false" ht="15" hidden="false" customHeight="false" outlineLevel="0" collapsed="false">
      <c r="A18" s="8" t="s">
        <v>155</v>
      </c>
      <c r="B18" s="8" t="s">
        <v>150</v>
      </c>
      <c r="C18" s="4" t="s">
        <v>156</v>
      </c>
      <c r="D18" s="8" t="s">
        <v>157</v>
      </c>
      <c r="E18" s="8" t="n">
        <v>5.12</v>
      </c>
      <c r="F18" s="8" t="s">
        <v>152</v>
      </c>
      <c r="G18" s="8" t="s">
        <v>100</v>
      </c>
      <c r="H18" s="9" t="n">
        <v>2983750</v>
      </c>
      <c r="I18" s="8" t="s">
        <v>74</v>
      </c>
      <c r="J18" s="8" t="s">
        <v>86</v>
      </c>
      <c r="K18" s="10"/>
      <c r="L18" s="11"/>
      <c r="M18" s="12" t="n">
        <f aca="false">IF(K18&lt;&gt;"",K18,IF(H18="","",H18))</f>
        <v>2983750</v>
      </c>
      <c r="N18" s="13" t="n">
        <f aca="false">IF(AND(ISNUMBER(E18),ISNUMBER(M18),OR(F18="W",F18="kWh")),M18/E18,"")</f>
        <v>582763.671875</v>
      </c>
      <c r="O18" s="14" t="s">
        <v>158</v>
      </c>
      <c r="P18" s="4" t="s">
        <v>88</v>
      </c>
    </row>
    <row r="19" customFormat="false" ht="15" hidden="false" customHeight="false" outlineLevel="0" collapsed="false">
      <c r="A19" s="8" t="s">
        <v>159</v>
      </c>
      <c r="B19" s="8" t="s">
        <v>150</v>
      </c>
      <c r="C19" s="4" t="s">
        <v>160</v>
      </c>
      <c r="D19" s="8" t="s">
        <v>161</v>
      </c>
      <c r="E19" s="8" t="n">
        <v>4.8</v>
      </c>
      <c r="F19" s="8" t="s">
        <v>152</v>
      </c>
      <c r="G19" s="8" t="s">
        <v>73</v>
      </c>
      <c r="H19" s="9" t="n">
        <v>4411900</v>
      </c>
      <c r="I19" s="8" t="s">
        <v>74</v>
      </c>
      <c r="J19" s="8" t="s">
        <v>94</v>
      </c>
      <c r="K19" s="10"/>
      <c r="L19" s="11"/>
      <c r="M19" s="12" t="n">
        <f aca="false">IF(K19&lt;&gt;"",K19,IF(H19="","",H19))</f>
        <v>4411900</v>
      </c>
      <c r="N19" s="13" t="n">
        <f aca="false">IF(AND(ISNUMBER(E19),ISNUMBER(M19),OR(F19="W",F19="kWh")),M19/E19,"")</f>
        <v>919145.833333333</v>
      </c>
      <c r="O19" s="14" t="s">
        <v>162</v>
      </c>
      <c r="P19" s="4" t="s">
        <v>163</v>
      </c>
    </row>
    <row r="20" customFormat="false" ht="15" hidden="false" customHeight="false" outlineLevel="0" collapsed="false">
      <c r="A20" s="8" t="s">
        <v>164</v>
      </c>
      <c r="B20" s="8" t="s">
        <v>150</v>
      </c>
      <c r="C20" s="4" t="s">
        <v>160</v>
      </c>
      <c r="D20" s="8" t="s">
        <v>161</v>
      </c>
      <c r="E20" s="8" t="n">
        <v>4.8</v>
      </c>
      <c r="F20" s="8" t="s">
        <v>152</v>
      </c>
      <c r="G20" s="8" t="s">
        <v>165</v>
      </c>
      <c r="H20" s="9" t="n">
        <v>3670348.48</v>
      </c>
      <c r="I20" s="8" t="s">
        <v>118</v>
      </c>
      <c r="J20" s="8" t="s">
        <v>166</v>
      </c>
      <c r="K20" s="10"/>
      <c r="L20" s="11"/>
      <c r="M20" s="12" t="n">
        <f aca="false">IF(K20&lt;&gt;"",K20,IF(H20="","",H20))</f>
        <v>3670348.48</v>
      </c>
      <c r="N20" s="13" t="n">
        <f aca="false">IF(AND(ISNUMBER(E20),ISNUMBER(M20),OR(F20="W",F20="kWh")),M20/E20,"")</f>
        <v>764655.933333333</v>
      </c>
      <c r="O20" s="14" t="s">
        <v>167</v>
      </c>
      <c r="P20" s="4"/>
    </row>
    <row r="21" customFormat="false" ht="15" hidden="false" customHeight="false" outlineLevel="0" collapsed="false">
      <c r="A21" s="8" t="s">
        <v>168</v>
      </c>
      <c r="B21" s="8" t="s">
        <v>169</v>
      </c>
      <c r="C21" s="4" t="s">
        <v>170</v>
      </c>
      <c r="D21" s="8" t="s">
        <v>171</v>
      </c>
      <c r="E21" s="8" t="n">
        <v>30</v>
      </c>
      <c r="F21" s="8" t="s">
        <v>172</v>
      </c>
      <c r="G21" s="8" t="s">
        <v>100</v>
      </c>
      <c r="H21" s="9" t="n">
        <v>115237</v>
      </c>
      <c r="I21" s="8" t="s">
        <v>74</v>
      </c>
      <c r="J21" s="8" t="s">
        <v>86</v>
      </c>
      <c r="K21" s="10"/>
      <c r="L21" s="11"/>
      <c r="M21" s="12" t="n">
        <f aca="false">IF(K21&lt;&gt;"",K21,IF(H21="","",H21))</f>
        <v>115237</v>
      </c>
      <c r="N21" s="13" t="str">
        <f aca="false">IF(AND(ISNUMBER(E21),ISNUMBER(M21),OR(F21="W",F21="kWh")),M21/E21,"")</f>
        <v/>
      </c>
      <c r="O21" s="14" t="s">
        <v>173</v>
      </c>
      <c r="P21" s="4" t="s">
        <v>174</v>
      </c>
    </row>
    <row r="22" customFormat="false" ht="15" hidden="false" customHeight="false" outlineLevel="0" collapsed="false">
      <c r="A22" s="8" t="s">
        <v>175</v>
      </c>
      <c r="B22" s="8" t="s">
        <v>169</v>
      </c>
      <c r="C22" s="4" t="s">
        <v>176</v>
      </c>
      <c r="D22" s="8" t="s">
        <v>171</v>
      </c>
      <c r="E22" s="8" t="n">
        <v>40</v>
      </c>
      <c r="F22" s="8" t="s">
        <v>172</v>
      </c>
      <c r="G22" s="8" t="s">
        <v>100</v>
      </c>
      <c r="H22" s="9" t="n">
        <v>141250</v>
      </c>
      <c r="I22" s="8" t="s">
        <v>74</v>
      </c>
      <c r="J22" s="8" t="s">
        <v>86</v>
      </c>
      <c r="K22" s="10"/>
      <c r="L22" s="11"/>
      <c r="M22" s="12" t="n">
        <f aca="false">IF(K22&lt;&gt;"",K22,IF(H22="","",H22))</f>
        <v>141250</v>
      </c>
      <c r="N22" s="13" t="str">
        <f aca="false">IF(AND(ISNUMBER(E22),ISNUMBER(M22),OR(F22="W",F22="kWh")),M22/E22,"")</f>
        <v/>
      </c>
      <c r="O22" s="14" t="s">
        <v>173</v>
      </c>
      <c r="P22" s="4"/>
    </row>
    <row r="23" customFormat="false" ht="15" hidden="false" customHeight="false" outlineLevel="0" collapsed="false">
      <c r="A23" s="8" t="s">
        <v>177</v>
      </c>
      <c r="B23" s="8" t="s">
        <v>178</v>
      </c>
      <c r="C23" s="4" t="s">
        <v>179</v>
      </c>
      <c r="D23" s="8" t="s">
        <v>180</v>
      </c>
      <c r="E23" s="8"/>
      <c r="F23" s="8" t="s">
        <v>142</v>
      </c>
      <c r="G23" s="8" t="s">
        <v>181</v>
      </c>
      <c r="H23" s="9" t="n">
        <v>3731</v>
      </c>
      <c r="I23" s="8" t="s">
        <v>118</v>
      </c>
      <c r="J23" s="8" t="s">
        <v>94</v>
      </c>
      <c r="K23" s="10"/>
      <c r="L23" s="11"/>
      <c r="M23" s="12" t="n">
        <f aca="false">IF(K23&lt;&gt;"",K23,IF(H23="","",H23))</f>
        <v>3731</v>
      </c>
      <c r="N23" s="13" t="str">
        <f aca="false">IF(AND(ISNUMBER(E23),ISNUMBER(M23),OR(F23="W",F23="kWh")),M23/E23,"")</f>
        <v/>
      </c>
      <c r="O23" s="14" t="s">
        <v>182</v>
      </c>
      <c r="P23" s="4" t="s">
        <v>183</v>
      </c>
    </row>
    <row r="24" customFormat="false" ht="15" hidden="false" customHeight="false" outlineLevel="0" collapsed="false">
      <c r="A24" s="8" t="s">
        <v>184</v>
      </c>
      <c r="B24" s="8" t="s">
        <v>178</v>
      </c>
      <c r="C24" s="4" t="s">
        <v>185</v>
      </c>
      <c r="D24" s="8" t="s">
        <v>180</v>
      </c>
      <c r="E24" s="8"/>
      <c r="F24" s="8" t="s">
        <v>142</v>
      </c>
      <c r="G24" s="8" t="s">
        <v>100</v>
      </c>
      <c r="H24" s="9" t="n">
        <v>35000</v>
      </c>
      <c r="I24" s="8" t="s">
        <v>74</v>
      </c>
      <c r="J24" s="8" t="s">
        <v>86</v>
      </c>
      <c r="K24" s="10"/>
      <c r="L24" s="11"/>
      <c r="M24" s="12" t="n">
        <f aca="false">IF(K24&lt;&gt;"",K24,IF(H24="","",H24))</f>
        <v>35000</v>
      </c>
      <c r="N24" s="13" t="str">
        <f aca="false">IF(AND(ISNUMBER(E24),ISNUMBER(M24),OR(F24="W",F24="kWh")),M24/E24,"")</f>
        <v/>
      </c>
      <c r="O24" s="14" t="s">
        <v>186</v>
      </c>
      <c r="P24" s="4" t="s">
        <v>187</v>
      </c>
    </row>
    <row r="25" customFormat="false" ht="26.85" hidden="false" customHeight="false" outlineLevel="0" collapsed="false">
      <c r="A25" s="8" t="s">
        <v>188</v>
      </c>
      <c r="B25" s="8" t="s">
        <v>189</v>
      </c>
      <c r="C25" s="4" t="s">
        <v>190</v>
      </c>
      <c r="D25" s="8" t="s">
        <v>191</v>
      </c>
      <c r="E25" s="8"/>
      <c r="F25" s="8" t="s">
        <v>142</v>
      </c>
      <c r="G25" s="8" t="s">
        <v>192</v>
      </c>
      <c r="H25" s="9"/>
      <c r="I25" s="8"/>
      <c r="J25" s="8" t="s">
        <v>193</v>
      </c>
      <c r="K25" s="10"/>
      <c r="L25" s="11"/>
      <c r="M25" s="12" t="str">
        <f aca="false">IF(K25&lt;&gt;"",K25,IF(H25="","",H25))</f>
        <v/>
      </c>
      <c r="N25" s="13" t="str">
        <f aca="false">IF(AND(ISNUMBER(E25),ISNUMBER(M25),OR(F25="W",F25="kWh")),M25/E25,"")</f>
        <v/>
      </c>
      <c r="O25" s="14" t="s">
        <v>194</v>
      </c>
      <c r="P25" s="4" t="s">
        <v>195</v>
      </c>
    </row>
    <row r="26" customFormat="false" ht="15" hidden="false" customHeight="false" outlineLevel="0" collapsed="false">
      <c r="A26" s="8" t="s">
        <v>196</v>
      </c>
      <c r="B26" s="8" t="s">
        <v>189</v>
      </c>
      <c r="C26" s="4" t="s">
        <v>197</v>
      </c>
      <c r="D26" s="8" t="s">
        <v>171</v>
      </c>
      <c r="E26" s="8"/>
      <c r="F26" s="8" t="s">
        <v>142</v>
      </c>
      <c r="G26" s="8" t="s">
        <v>193</v>
      </c>
      <c r="H26" s="9"/>
      <c r="I26" s="8"/>
      <c r="J26" s="8" t="s">
        <v>193</v>
      </c>
      <c r="K26" s="10"/>
      <c r="L26" s="11"/>
      <c r="M26" s="12" t="str">
        <f aca="false">IF(K26&lt;&gt;"",K26,IF(H26="","",H26))</f>
        <v/>
      </c>
      <c r="N26" s="13" t="str">
        <f aca="false">IF(AND(ISNUMBER(E26),ISNUMBER(M26),OR(F26="W",F26="kWh")),M26/E26,"")</f>
        <v/>
      </c>
      <c r="O26" s="8"/>
      <c r="P26" s="4"/>
    </row>
    <row r="27" customFormat="false" ht="15" hidden="false" customHeight="false" outlineLevel="0" collapsed="false">
      <c r="A27" s="8" t="s">
        <v>198</v>
      </c>
      <c r="B27" s="8" t="s">
        <v>189</v>
      </c>
      <c r="C27" s="4" t="s">
        <v>199</v>
      </c>
      <c r="D27" s="8" t="s">
        <v>171</v>
      </c>
      <c r="E27" s="8"/>
      <c r="F27" s="8" t="s">
        <v>142</v>
      </c>
      <c r="G27" s="8" t="s">
        <v>193</v>
      </c>
      <c r="H27" s="9"/>
      <c r="I27" s="8"/>
      <c r="J27" s="8" t="s">
        <v>193</v>
      </c>
      <c r="K27" s="10"/>
      <c r="L27" s="11"/>
      <c r="M27" s="12" t="str">
        <f aca="false">IF(K27&lt;&gt;"",K27,IF(H27="","",H27))</f>
        <v/>
      </c>
      <c r="N27" s="13" t="str">
        <f aca="false">IF(AND(ISNUMBER(E27),ISNUMBER(M27),OR(F27="W",F27="kWh")),M27/E27,"")</f>
        <v/>
      </c>
      <c r="O27" s="8"/>
      <c r="P27" s="4"/>
    </row>
    <row r="28" customFormat="false" ht="26.85" hidden="false" customHeight="false" outlineLevel="0" collapsed="false">
      <c r="A28" s="8" t="s">
        <v>200</v>
      </c>
      <c r="B28" s="8" t="s">
        <v>201</v>
      </c>
      <c r="C28" s="4" t="s">
        <v>202</v>
      </c>
      <c r="D28" s="8" t="s">
        <v>203</v>
      </c>
      <c r="E28" s="8"/>
      <c r="F28" s="8" t="s">
        <v>204</v>
      </c>
      <c r="G28" s="8" t="s">
        <v>205</v>
      </c>
      <c r="H28" s="9"/>
      <c r="I28" s="8"/>
      <c r="J28" s="8" t="s">
        <v>193</v>
      </c>
      <c r="K28" s="10"/>
      <c r="L28" s="11"/>
      <c r="M28" s="12" t="str">
        <f aca="false">IF(K28&lt;&gt;"",K28,IF(H28="","",H28))</f>
        <v/>
      </c>
      <c r="N28" s="13" t="str">
        <f aca="false">IF(AND(ISNUMBER(E28),ISNUMBER(M28),OR(F28="W",F28="kWh")),M28/E28,"")</f>
        <v/>
      </c>
      <c r="O28" s="8"/>
      <c r="P28" s="4"/>
    </row>
    <row r="29" customFormat="false" ht="26.85" hidden="false" customHeight="false" outlineLevel="0" collapsed="false">
      <c r="A29" s="8" t="s">
        <v>206</v>
      </c>
      <c r="B29" s="8" t="s">
        <v>38</v>
      </c>
      <c r="C29" s="4" t="s">
        <v>207</v>
      </c>
      <c r="D29" s="8" t="s">
        <v>208</v>
      </c>
      <c r="E29" s="8"/>
      <c r="F29" s="8" t="s">
        <v>209</v>
      </c>
      <c r="G29" s="8" t="s">
        <v>193</v>
      </c>
      <c r="H29" s="9"/>
      <c r="I29" s="8"/>
      <c r="J29" s="8" t="s">
        <v>193</v>
      </c>
      <c r="K29" s="10"/>
      <c r="L29" s="11"/>
      <c r="M29" s="12" t="str">
        <f aca="false">IF(K29&lt;&gt;"",K29,IF(H29="","",H29))</f>
        <v/>
      </c>
      <c r="N29" s="13" t="str">
        <f aca="false">IF(AND(ISNUMBER(E29),ISNUMBER(M29),OR(F29="W",F29="kWh")),M29/E29,"")</f>
        <v/>
      </c>
      <c r="O29" s="8"/>
      <c r="P29" s="4" t="s">
        <v>210</v>
      </c>
    </row>
  </sheetData>
  <autoFilter ref="A1:P29"/>
  <hyperlinks>
    <hyperlink ref="O2" r:id="rId2" display="https://enertik.com/ar/tienda/"/>
    <hyperlink ref="O3" r:id="rId3" display="https://shop.enertik.ar/shop/category/paneles-solares-247"/>
    <hyperlink ref="O4" r:id="rId4" display="https://listado.mercadolibre.com.ar/panel-solar-550w"/>
    <hyperlink ref="O5" r:id="rId5" display="https://texsolar.com.ar/panel-solar-580w/"/>
    <hyperlink ref="O6" r:id="rId6" display="https://articulo.mercadolibre.com.ar/MLA-1913420384-panel-solar-bifacial-monocristalino-580w-media-celda-perc-_JM"/>
    <hyperlink ref="O7" r:id="rId7" display="https://jfsolar.com.ar/paneles-solares/"/>
    <hyperlink ref="O8" r:id="rId8" display="https://jfsolar.com.ar/paneles-solares/"/>
    <hyperlink ref="O9" r:id="rId9" display="https://shop.suriaenergy.com/40c760-Inversores%20On%20Grid"/>
    <hyperlink ref="O10" r:id="rId10" display="https://listado.mercadolibre.com.ar/inversor-on-grid-3-kw"/>
    <hyperlink ref="O11" r:id="rId11" display="https://shop.suriaenergy.com/40c760-Inversores%20On%20Grid"/>
    <hyperlink ref="O12" r:id="rId12" display="https://www.ingenieriaboggio.com.ar/shop/category/energia-solar-inversores-on-grid-3205"/>
    <hyperlink ref="O13" r:id="rId13" display="https://articulo.mercadolibre.com.ar/MLA-1142269496-inversor-hibrido-monofasico-5kw-deye-48v-220v-solar-_JM"/>
    <hyperlink ref="O14" r:id="rId14" display="https://shop.suriaenergy.com/40c760-Inversores%20On%20Grid"/>
    <hyperlink ref="O15" r:id="rId15" display="https://electroimpulso.com.ar/catalogo/producto/growatt-spm-limitador-de-inyeccion-monofasico/"/>
    <hyperlink ref="O16" r:id="rId16" display="https://shop.suriaenergy.com/40c760-Inversores%20On%20Grid"/>
    <hyperlink ref="O17" r:id="rId17" display="https://enertik.com/ar/categoria/baterias/litio"/>
    <hyperlink ref="O18" r:id="rId18" display="https://www.mercadolibre.com.ar/bateria-litio-solar-48v-dyness-dl50c-100ah-lifepo4-51kw/up/MLAU452853384"/>
    <hyperlink ref="O19" r:id="rId19" display="https://enertik.com/ar/marca/pylontech/"/>
    <hyperlink ref="O20" r:id="rId20" display="https://mcsol.com.ar/productos/bateria-pylontech-us5000-100ah-48v-litio-lifepo4/"/>
    <hyperlink ref="O21" r:id="rId21" display="https://listado.mercadolibre.com.ar/cable-solar-6mm"/>
    <hyperlink ref="O22" r:id="rId22" display="https://listado.mercadolibre.com.ar/cable-solar-6mm"/>
    <hyperlink ref="O23" r:id="rId23" display="https://www.emakers.com.ar/tienda/energia-solar-y-alternativas/accesorios-solar"/>
    <hyperlink ref="O24" r:id="rId24" display="https://listado.mercadolibre.com.ar/conectores-mc4-cable"/>
    <hyperlink ref="O25" r:id="rId25" display="https://www.hissuma-materiales.com.ar/productos/porta-fusible-con-fusible-cc-para-riel-din-25a-suntre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"/>
  <legacy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48"/>
  </cols>
  <sheetData>
    <row r="1" customFormat="false" ht="16.15" hidden="false" customHeight="false" outlineLevel="0" collapsed="false">
      <c r="A1" s="15" t="s">
        <v>211</v>
      </c>
    </row>
    <row r="2" customFormat="false" ht="15" hidden="false" customHeight="false" outlineLevel="0" collapsed="false">
      <c r="A2" s="16" t="s">
        <v>212</v>
      </c>
    </row>
    <row r="4" customFormat="false" ht="15" hidden="false" customHeight="false" outlineLevel="0" collapsed="false">
      <c r="A4" s="17" t="s">
        <v>213</v>
      </c>
    </row>
    <row r="5" customFormat="false" ht="15" hidden="false" customHeight="false" outlineLevel="0" collapsed="false">
      <c r="A5" s="18" t="s">
        <v>214</v>
      </c>
      <c r="B5" s="18" t="s">
        <v>215</v>
      </c>
      <c r="C5" s="18" t="s">
        <v>216</v>
      </c>
      <c r="D5" s="18" t="s">
        <v>217</v>
      </c>
      <c r="E5" s="18" t="s">
        <v>218</v>
      </c>
      <c r="F5" s="18" t="s">
        <v>219</v>
      </c>
    </row>
    <row r="6" customFormat="false" ht="15" hidden="false" customHeight="false" outlineLevel="0" collapsed="false">
      <c r="A6" s="19" t="s">
        <v>68</v>
      </c>
      <c r="B6" s="20" t="str">
        <f aca="false">IFERROR(INDEX(Productos!$C:$C,MATCH(A6,Productos!$A:$A,0)),"ID no encontrado")</f>
        <v>Trina Vertex 550 W (TSM-550DE19)</v>
      </c>
      <c r="C6" s="19" t="n">
        <v>4</v>
      </c>
      <c r="D6" s="21" t="n">
        <f aca="false">IFERROR(INDEX(Productos!$M:$M,MATCH(A6,Productos!$A:$A,0)),"")</f>
        <v>224000</v>
      </c>
      <c r="E6" s="22" t="n">
        <f aca="false">IF(ISNUMBER(D6),C6*D6,0)</f>
        <v>896000</v>
      </c>
      <c r="F6" s="23" t="s">
        <v>220</v>
      </c>
    </row>
    <row r="7" customFormat="false" ht="15" hidden="false" customHeight="false" outlineLevel="0" collapsed="false">
      <c r="A7" s="19" t="s">
        <v>121</v>
      </c>
      <c r="B7" s="20" t="str">
        <f aca="false">IFERROR(INDEX(Productos!$C:$C,MATCH(A7,Productos!$A:$A,0)),"ID no encontrado")</f>
        <v>Deye 3 kW on-grid</v>
      </c>
      <c r="C7" s="19" t="n">
        <v>1</v>
      </c>
      <c r="D7" s="21" t="n">
        <f aca="false">IFERROR(INDEX(Productos!$M:$M,MATCH(A7,Productos!$A:$A,0)),"")</f>
        <v>936889</v>
      </c>
      <c r="E7" s="22" t="n">
        <f aca="false">IF(ISNUMBER(D7),C7*D7,0)</f>
        <v>936889</v>
      </c>
      <c r="F7" s="23" t="s">
        <v>221</v>
      </c>
    </row>
    <row r="8" customFormat="false" ht="15" hidden="false" customHeight="false" outlineLevel="0" collapsed="false">
      <c r="A8" s="19" t="s">
        <v>168</v>
      </c>
      <c r="B8" s="20" t="str">
        <f aca="false">IFERROR(INDEX(Productos!$C:$C,MATCH(A8,Productos!$A:$A,0)),"ID no encontrado")</f>
        <v>Cable solar 6 mm² rojo/negro, rollo 30 m</v>
      </c>
      <c r="C8" s="19" t="n">
        <v>1</v>
      </c>
      <c r="D8" s="21" t="n">
        <f aca="false">IFERROR(INDEX(Productos!$M:$M,MATCH(A8,Productos!$A:$A,0)),"")</f>
        <v>115237</v>
      </c>
      <c r="E8" s="22" t="n">
        <f aca="false">IF(ISNUMBER(D8),C8*D8,0)</f>
        <v>115237</v>
      </c>
      <c r="F8" s="23" t="s">
        <v>222</v>
      </c>
    </row>
    <row r="9" customFormat="false" ht="15" hidden="false" customHeight="false" outlineLevel="0" collapsed="false">
      <c r="A9" s="19" t="s">
        <v>177</v>
      </c>
      <c r="B9" s="20" t="str">
        <f aca="false">IFERROR(INDEX(Productos!$C:$C,MATCH(A9,Productos!$A:$A,0)),"ID no encontrado")</f>
        <v>Conector MC4 (par macho/hembra)</v>
      </c>
      <c r="C9" s="19" t="n">
        <v>4</v>
      </c>
      <c r="D9" s="21" t="n">
        <f aca="false">IFERROR(INDEX(Productos!$M:$M,MATCH(A9,Productos!$A:$A,0)),"")</f>
        <v>3731</v>
      </c>
      <c r="E9" s="22" t="n">
        <f aca="false">IF(ISNUMBER(D9),C9*D9,0)</f>
        <v>14924</v>
      </c>
      <c r="F9" s="23"/>
    </row>
    <row r="10" customFormat="false" ht="15" hidden="false" customHeight="false" outlineLevel="0" collapsed="false">
      <c r="A10" s="19"/>
      <c r="B10" s="24" t="s">
        <v>223</v>
      </c>
      <c r="C10" s="19" t="n">
        <v>1</v>
      </c>
      <c r="D10" s="10"/>
      <c r="E10" s="22" t="n">
        <f aca="false">IF(ISNUMBER(D10),C10*D10,0)</f>
        <v>0</v>
      </c>
      <c r="F10" s="23" t="s">
        <v>193</v>
      </c>
    </row>
    <row r="11" customFormat="false" ht="15" hidden="false" customHeight="false" outlineLevel="0" collapsed="false">
      <c r="A11" s="19"/>
      <c r="B11" s="24" t="s">
        <v>224</v>
      </c>
      <c r="C11" s="19" t="n">
        <v>1</v>
      </c>
      <c r="D11" s="10"/>
      <c r="E11" s="22" t="n">
        <f aca="false">IF(ISNUMBER(D11),C11*D11,0)</f>
        <v>0</v>
      </c>
      <c r="F11" s="23" t="s">
        <v>193</v>
      </c>
    </row>
    <row r="12" customFormat="false" ht="15" hidden="false" customHeight="false" outlineLevel="0" collapsed="false">
      <c r="A12" s="19"/>
      <c r="B12" s="24" t="s">
        <v>225</v>
      </c>
      <c r="C12" s="19" t="n">
        <v>4</v>
      </c>
      <c r="D12" s="10"/>
      <c r="E12" s="22" t="n">
        <f aca="false">IF(ISNUMBER(D12),C12*D12,0)</f>
        <v>0</v>
      </c>
      <c r="F12" s="23" t="s">
        <v>193</v>
      </c>
    </row>
    <row r="13" customFormat="false" ht="15" hidden="false" customHeight="false" outlineLevel="0" collapsed="false">
      <c r="A13" s="19"/>
      <c r="B13" s="24" t="s">
        <v>226</v>
      </c>
      <c r="C13" s="19" t="n">
        <v>1</v>
      </c>
      <c r="D13" s="10"/>
      <c r="E13" s="22" t="n">
        <f aca="false">IF(ISNUMBER(D13),C13*D13,0)</f>
        <v>0</v>
      </c>
      <c r="F13" s="23" t="s">
        <v>193</v>
      </c>
    </row>
    <row r="14" customFormat="false" ht="15" hidden="false" customHeight="false" outlineLevel="0" collapsed="false">
      <c r="D14" s="5" t="s">
        <v>227</v>
      </c>
      <c r="E14" s="25" t="n">
        <f aca="false">SUM(E6:E13)</f>
        <v>1963050</v>
      </c>
    </row>
    <row r="15" customFormat="false" ht="15" hidden="false" customHeight="false" outlineLevel="0" collapsed="false">
      <c r="D15" s="16" t="s">
        <v>228</v>
      </c>
      <c r="E15" s="16" t="n">
        <f aca="false">COUNTIF(D6:D13,"")</f>
        <v>4</v>
      </c>
      <c r="F15" s="2" t="s">
        <v>229</v>
      </c>
    </row>
    <row r="17" customFormat="false" ht="15" hidden="false" customHeight="false" outlineLevel="0" collapsed="false">
      <c r="A17" s="17" t="s">
        <v>230</v>
      </c>
    </row>
    <row r="18" customFormat="false" ht="15" hidden="false" customHeight="false" outlineLevel="0" collapsed="false">
      <c r="A18" s="18" t="s">
        <v>214</v>
      </c>
      <c r="B18" s="18" t="s">
        <v>215</v>
      </c>
      <c r="C18" s="18" t="s">
        <v>216</v>
      </c>
      <c r="D18" s="18" t="s">
        <v>217</v>
      </c>
      <c r="E18" s="18" t="s">
        <v>218</v>
      </c>
      <c r="F18" s="18" t="s">
        <v>219</v>
      </c>
    </row>
    <row r="19" customFormat="false" ht="15" hidden="false" customHeight="false" outlineLevel="0" collapsed="false">
      <c r="A19" s="19" t="s">
        <v>68</v>
      </c>
      <c r="B19" s="20" t="str">
        <f aca="false">IFERROR(INDEX(Productos!$C:$C,MATCH(A19,Productos!$A:$A,0)),"ID no encontrado")</f>
        <v>Trina Vertex 550 W (TSM-550DE19)</v>
      </c>
      <c r="C19" s="19" t="n">
        <v>6</v>
      </c>
      <c r="D19" s="21" t="n">
        <f aca="false">IFERROR(INDEX(Productos!$M:$M,MATCH(A19,Productos!$A:$A,0)),"")</f>
        <v>224000</v>
      </c>
      <c r="E19" s="22" t="n">
        <f aca="false">IF(ISNUMBER(D19),C19*D19,0)</f>
        <v>1344000</v>
      </c>
      <c r="F19" s="23" t="s">
        <v>231</v>
      </c>
    </row>
    <row r="20" customFormat="false" ht="15" hidden="false" customHeight="false" outlineLevel="0" collapsed="false">
      <c r="A20" s="19" t="s">
        <v>134</v>
      </c>
      <c r="B20" s="20" t="str">
        <f aca="false">IFERROR(INDEX(Productos!$C:$C,MATCH(A20,Productos!$A:$A,0)),"ID no encontrado")</f>
        <v>Deye SUN-5K-SG04LP1 5 kW 48 V</v>
      </c>
      <c r="C20" s="19" t="n">
        <v>1</v>
      </c>
      <c r="D20" s="21" t="n">
        <f aca="false">IFERROR(INDEX(Productos!$M:$M,MATCH(A20,Productos!$A:$A,0)),"")</f>
        <v>3916000</v>
      </c>
      <c r="E20" s="22" t="n">
        <f aca="false">IF(ISNUMBER(D20),C20*D20,0)</f>
        <v>3916000</v>
      </c>
      <c r="F20" s="23" t="s">
        <v>232</v>
      </c>
    </row>
    <row r="21" customFormat="false" ht="15" hidden="false" customHeight="false" outlineLevel="0" collapsed="false">
      <c r="A21" s="19" t="s">
        <v>149</v>
      </c>
      <c r="B21" s="20" t="str">
        <f aca="false">IFERROR(INDEX(Productos!$C:$C,MATCH(A21,Productos!$A:$A,0)),"ID no encontrado")</f>
        <v>Deye SE-F5 5,12 kWh 51,2 V</v>
      </c>
      <c r="C21" s="19" t="n">
        <v>1</v>
      </c>
      <c r="D21" s="21" t="n">
        <f aca="false">IFERROR(INDEX(Productos!$M:$M,MATCH(A21,Productos!$A:$A,0)),"")</f>
        <v>2752700</v>
      </c>
      <c r="E21" s="22" t="n">
        <f aca="false">IF(ISNUMBER(D21),C21*D21,0)</f>
        <v>2752700</v>
      </c>
      <c r="F21" s="23" t="s">
        <v>233</v>
      </c>
    </row>
    <row r="22" customFormat="false" ht="15" hidden="false" customHeight="false" outlineLevel="0" collapsed="false">
      <c r="A22" s="19" t="s">
        <v>168</v>
      </c>
      <c r="B22" s="20" t="str">
        <f aca="false">IFERROR(INDEX(Productos!$C:$C,MATCH(A22,Productos!$A:$A,0)),"ID no encontrado")</f>
        <v>Cable solar 6 mm² rojo/negro, rollo 30 m</v>
      </c>
      <c r="C22" s="19" t="n">
        <v>1</v>
      </c>
      <c r="D22" s="21" t="n">
        <f aca="false">IFERROR(INDEX(Productos!$M:$M,MATCH(A22,Productos!$A:$A,0)),"")</f>
        <v>115237</v>
      </c>
      <c r="E22" s="22" t="n">
        <f aca="false">IF(ISNUMBER(D22),C22*D22,0)</f>
        <v>115237</v>
      </c>
      <c r="F22" s="23"/>
    </row>
    <row r="23" customFormat="false" ht="15" hidden="false" customHeight="false" outlineLevel="0" collapsed="false">
      <c r="A23" s="19" t="s">
        <v>177</v>
      </c>
      <c r="B23" s="20" t="str">
        <f aca="false">IFERROR(INDEX(Productos!$C:$C,MATCH(A23,Productos!$A:$A,0)),"ID no encontrado")</f>
        <v>Conector MC4 (par macho/hembra)</v>
      </c>
      <c r="C23" s="19" t="n">
        <v>4</v>
      </c>
      <c r="D23" s="21" t="n">
        <f aca="false">IFERROR(INDEX(Productos!$M:$M,MATCH(A23,Productos!$A:$A,0)),"")</f>
        <v>3731</v>
      </c>
      <c r="E23" s="22" t="n">
        <f aca="false">IF(ISNUMBER(D23),C23*D23,0)</f>
        <v>14924</v>
      </c>
      <c r="F23" s="23"/>
    </row>
    <row r="24" customFormat="false" ht="15" hidden="false" customHeight="false" outlineLevel="0" collapsed="false">
      <c r="A24" s="19"/>
      <c r="B24" s="24" t="s">
        <v>234</v>
      </c>
      <c r="C24" s="19" t="n">
        <v>1</v>
      </c>
      <c r="D24" s="10"/>
      <c r="E24" s="22" t="n">
        <f aca="false">IF(ISNUMBER(D24),C24*D24,0)</f>
        <v>0</v>
      </c>
      <c r="F24" s="23" t="s">
        <v>193</v>
      </c>
    </row>
    <row r="25" customFormat="false" ht="15" hidden="false" customHeight="false" outlineLevel="0" collapsed="false">
      <c r="A25" s="19"/>
      <c r="B25" s="24" t="s">
        <v>235</v>
      </c>
      <c r="C25" s="19" t="n">
        <v>1</v>
      </c>
      <c r="D25" s="10"/>
      <c r="E25" s="22" t="n">
        <f aca="false">IF(ISNUMBER(D25),C25*D25,0)</f>
        <v>0</v>
      </c>
      <c r="F25" s="23" t="s">
        <v>193</v>
      </c>
    </row>
    <row r="26" customFormat="false" ht="15" hidden="false" customHeight="false" outlineLevel="0" collapsed="false">
      <c r="A26" s="19"/>
      <c r="B26" s="24" t="s">
        <v>225</v>
      </c>
      <c r="C26" s="19" t="n">
        <v>6</v>
      </c>
      <c r="D26" s="10"/>
      <c r="E26" s="22" t="n">
        <f aca="false">IF(ISNUMBER(D26),C26*D26,0)</f>
        <v>0</v>
      </c>
      <c r="F26" s="23" t="s">
        <v>193</v>
      </c>
    </row>
    <row r="27" customFormat="false" ht="15" hidden="false" customHeight="false" outlineLevel="0" collapsed="false">
      <c r="A27" s="19"/>
      <c r="B27" s="24" t="s">
        <v>226</v>
      </c>
      <c r="C27" s="19" t="n">
        <v>1</v>
      </c>
      <c r="D27" s="10"/>
      <c r="E27" s="22" t="n">
        <f aca="false">IF(ISNUMBER(D27),C27*D27,0)</f>
        <v>0</v>
      </c>
      <c r="F27" s="23" t="s">
        <v>193</v>
      </c>
    </row>
    <row r="28" customFormat="false" ht="15" hidden="false" customHeight="false" outlineLevel="0" collapsed="false">
      <c r="D28" s="5" t="s">
        <v>227</v>
      </c>
      <c r="E28" s="25" t="n">
        <f aca="false">SUM(E19:E27)</f>
        <v>8142861</v>
      </c>
    </row>
    <row r="29" customFormat="false" ht="15" hidden="false" customHeight="false" outlineLevel="0" collapsed="false">
      <c r="D29" s="16" t="s">
        <v>228</v>
      </c>
      <c r="E29" s="16" t="n">
        <f aca="false">COUNTIF(D19:D27,"")</f>
        <v>4</v>
      </c>
      <c r="F29" s="2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4" min="4" style="0" width="45"/>
    <col collapsed="false" customWidth="true" hidden="false" outlineLevel="0" max="5" min="5" style="0" width="38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8" t="s">
        <v>236</v>
      </c>
      <c r="B1" s="18" t="s">
        <v>237</v>
      </c>
      <c r="C1" s="18" t="s">
        <v>238</v>
      </c>
      <c r="D1" s="18" t="s">
        <v>239</v>
      </c>
      <c r="E1" s="18" t="s">
        <v>240</v>
      </c>
      <c r="F1" s="18" t="s">
        <v>219</v>
      </c>
    </row>
    <row r="2" customFormat="false" ht="26.85" hidden="false" customHeight="false" outlineLevel="0" collapsed="false">
      <c r="A2" s="4" t="s">
        <v>73</v>
      </c>
      <c r="B2" s="4" t="s">
        <v>241</v>
      </c>
      <c r="C2" s="4" t="s">
        <v>242</v>
      </c>
      <c r="D2" s="4" t="s">
        <v>243</v>
      </c>
      <c r="E2" s="26" t="s">
        <v>76</v>
      </c>
      <c r="F2" s="4" t="s">
        <v>244</v>
      </c>
    </row>
    <row r="3" customFormat="false" ht="26.85" hidden="false" customHeight="false" outlineLevel="0" collapsed="false">
      <c r="A3" s="4" t="s">
        <v>100</v>
      </c>
      <c r="B3" s="4" t="s">
        <v>245</v>
      </c>
      <c r="C3" s="4" t="s">
        <v>246</v>
      </c>
      <c r="D3" s="4" t="s">
        <v>247</v>
      </c>
      <c r="E3" s="26" t="s">
        <v>248</v>
      </c>
      <c r="F3" s="4" t="s">
        <v>249</v>
      </c>
    </row>
    <row r="4" customFormat="false" ht="15" hidden="false" customHeight="false" outlineLevel="0" collapsed="false">
      <c r="A4" s="4" t="s">
        <v>117</v>
      </c>
      <c r="B4" s="4" t="s">
        <v>250</v>
      </c>
      <c r="C4" s="4" t="s">
        <v>118</v>
      </c>
      <c r="D4" s="4" t="s">
        <v>251</v>
      </c>
      <c r="E4" s="26" t="s">
        <v>252</v>
      </c>
      <c r="F4" s="4" t="s">
        <v>253</v>
      </c>
    </row>
    <row r="5" customFormat="false" ht="15" hidden="false" customHeight="false" outlineLevel="0" collapsed="false">
      <c r="A5" s="4" t="s">
        <v>145</v>
      </c>
      <c r="B5" s="4" t="s">
        <v>250</v>
      </c>
      <c r="C5" s="4" t="s">
        <v>118</v>
      </c>
      <c r="D5" s="4" t="s">
        <v>254</v>
      </c>
      <c r="E5" s="26" t="s">
        <v>255</v>
      </c>
      <c r="F5" s="4"/>
    </row>
    <row r="6" customFormat="false" ht="15" hidden="false" customHeight="false" outlineLevel="0" collapsed="false">
      <c r="A6" s="4" t="s">
        <v>130</v>
      </c>
      <c r="B6" s="4" t="s">
        <v>250</v>
      </c>
      <c r="C6" s="4" t="s">
        <v>118</v>
      </c>
      <c r="D6" s="4" t="s">
        <v>256</v>
      </c>
      <c r="E6" s="26" t="s">
        <v>257</v>
      </c>
      <c r="F6" s="4" t="s">
        <v>258</v>
      </c>
    </row>
    <row r="7" customFormat="false" ht="15" hidden="false" customHeight="false" outlineLevel="0" collapsed="false">
      <c r="A7" s="4" t="s">
        <v>106</v>
      </c>
      <c r="B7" s="4" t="s">
        <v>259</v>
      </c>
      <c r="C7" s="4" t="s">
        <v>118</v>
      </c>
      <c r="D7" s="4" t="s">
        <v>260</v>
      </c>
      <c r="E7" s="26" t="s">
        <v>261</v>
      </c>
      <c r="F7" s="4" t="s">
        <v>262</v>
      </c>
    </row>
    <row r="8" customFormat="false" ht="15" hidden="false" customHeight="false" outlineLevel="0" collapsed="false">
      <c r="A8" s="4" t="s">
        <v>263</v>
      </c>
      <c r="B8" s="4" t="s">
        <v>264</v>
      </c>
      <c r="C8" s="4" t="s">
        <v>265</v>
      </c>
      <c r="D8" s="4" t="s">
        <v>266</v>
      </c>
      <c r="E8" s="26" t="s">
        <v>267</v>
      </c>
      <c r="F8" s="4" t="s">
        <v>268</v>
      </c>
    </row>
    <row r="9" customFormat="false" ht="26.85" hidden="false" customHeight="false" outlineLevel="0" collapsed="false">
      <c r="A9" s="4" t="s">
        <v>192</v>
      </c>
      <c r="B9" s="4" t="s">
        <v>269</v>
      </c>
      <c r="C9" s="4" t="s">
        <v>270</v>
      </c>
      <c r="D9" s="4" t="s">
        <v>271</v>
      </c>
      <c r="E9" s="26" t="s">
        <v>272</v>
      </c>
      <c r="F9" s="4" t="s">
        <v>273</v>
      </c>
    </row>
    <row r="10" customFormat="false" ht="26.85" hidden="false" customHeight="false" outlineLevel="0" collapsed="false">
      <c r="A10" s="4" t="s">
        <v>274</v>
      </c>
      <c r="B10" s="4" t="s">
        <v>275</v>
      </c>
      <c r="C10" s="4" t="s">
        <v>118</v>
      </c>
      <c r="D10" s="4" t="s">
        <v>276</v>
      </c>
      <c r="E10" s="26" t="s">
        <v>277</v>
      </c>
      <c r="F10" s="4" t="s">
        <v>278</v>
      </c>
    </row>
    <row r="11" customFormat="false" ht="15" hidden="false" customHeight="false" outlineLevel="0" collapsed="false">
      <c r="A11" s="4" t="s">
        <v>279</v>
      </c>
      <c r="B11" s="4" t="s">
        <v>250</v>
      </c>
      <c r="C11" s="4" t="s">
        <v>118</v>
      </c>
      <c r="D11" s="4" t="s">
        <v>280</v>
      </c>
      <c r="E11" s="26" t="s">
        <v>281</v>
      </c>
      <c r="F11" s="4" t="s">
        <v>282</v>
      </c>
    </row>
    <row r="12" customFormat="false" ht="15" hidden="false" customHeight="false" outlineLevel="0" collapsed="false">
      <c r="A12" s="4" t="s">
        <v>283</v>
      </c>
      <c r="B12" s="4" t="s">
        <v>284</v>
      </c>
      <c r="C12" s="4" t="s">
        <v>285</v>
      </c>
      <c r="D12" s="4" t="s">
        <v>286</v>
      </c>
      <c r="E12" s="26" t="s">
        <v>287</v>
      </c>
      <c r="F12" s="4" t="s">
        <v>288</v>
      </c>
    </row>
    <row r="13" customFormat="false" ht="15" hidden="false" customHeight="false" outlineLevel="0" collapsed="false">
      <c r="A13" s="4" t="s">
        <v>289</v>
      </c>
      <c r="B13" s="4" t="s">
        <v>58</v>
      </c>
      <c r="C13" s="4" t="s">
        <v>118</v>
      </c>
      <c r="D13" s="4" t="s">
        <v>290</v>
      </c>
      <c r="E13" s="26" t="s">
        <v>291</v>
      </c>
      <c r="F13" s="4"/>
    </row>
    <row r="14" customFormat="false" ht="15" hidden="false" customHeight="false" outlineLevel="0" collapsed="false">
      <c r="A14" s="4" t="s">
        <v>165</v>
      </c>
      <c r="B14" s="4" t="s">
        <v>250</v>
      </c>
      <c r="C14" s="4" t="s">
        <v>118</v>
      </c>
      <c r="D14" s="4" t="s">
        <v>292</v>
      </c>
      <c r="E14" s="26" t="s">
        <v>293</v>
      </c>
      <c r="F14" s="4" t="s">
        <v>294</v>
      </c>
    </row>
    <row r="15" customFormat="false" ht="26.85" hidden="false" customHeight="false" outlineLevel="0" collapsed="false">
      <c r="A15" s="4" t="s">
        <v>295</v>
      </c>
      <c r="B15" s="4" t="s">
        <v>296</v>
      </c>
      <c r="C15" s="4" t="s">
        <v>297</v>
      </c>
      <c r="D15" s="4" t="s">
        <v>298</v>
      </c>
      <c r="E15" s="4" t="s">
        <v>36</v>
      </c>
      <c r="F15" s="4" t="s">
        <v>299</v>
      </c>
    </row>
  </sheetData>
  <hyperlinks>
    <hyperlink ref="E2" r:id="rId1" display="https://enertik.com/ar/tienda/"/>
    <hyperlink ref="E3" r:id="rId2" display="https://www.mercadolibre.com.ar"/>
    <hyperlink ref="E4" r:id="rId3" display="https://shop.suriaenergy.com/"/>
    <hyperlink ref="E5" r:id="rId4" display="https://electroimpulso.com.ar/"/>
    <hyperlink ref="E6" r:id="rId5" display="https://www.ingenieriaboggio.com.ar/"/>
    <hyperlink ref="E7" r:id="rId6" display="https://jfsolar.com.ar/"/>
    <hyperlink ref="E8" r:id="rId7" display="https://texsolar.com.ar/"/>
    <hyperlink ref="E9" r:id="rId8" display="https://www.hissuma-materiales.com.ar/"/>
    <hyperlink ref="E10" r:id="rId9" display="https://www.enerton.com.ar/"/>
    <hyperlink ref="E11" r:id="rId10" display="https://adnsolar.com.ar/"/>
    <hyperlink ref="E12" r:id="rId11" display="https://www.fcsolarenergy.com/"/>
    <hyperlink ref="E13" r:id="rId12" display="https://www.todosolar.com.ar/"/>
    <hyperlink ref="E14" r:id="rId13" display="https://mcsol.com.a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2026-10-11T01:37:06Z</dcterms:created>
  <dc:creator>openpyxl</dc:creator>
  <dc:description/>
  <dc:language>en-US</dc:language>
  <cp:lastModifiedBy/>
  <dcterms:modified xsi:type="dcterms:W3CDTF">2026-10-11T01:37:06Z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